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Assumptions" sheetId="2" state="visible" r:id="rId2"/>
    <sheet xmlns:r="http://schemas.openxmlformats.org/officeDocument/2006/relationships" name="02_Property_Sizes" sheetId="3" state="visible" r:id="rId3"/>
    <sheet xmlns:r="http://schemas.openxmlformats.org/officeDocument/2006/relationships" name="03_Unit_Economics" sheetId="4" state="visible" r:id="rId4"/>
    <sheet xmlns:r="http://schemas.openxmlformats.org/officeDocument/2006/relationships" name="04_Messaging_Costs" sheetId="5" state="visible" r:id="rId5"/>
    <sheet xmlns:r="http://schemas.openxmlformats.org/officeDocument/2006/relationships" name="05_Ramp" sheetId="6" state="visible" r:id="rId6"/>
    <sheet xmlns:r="http://schemas.openxmlformats.org/officeDocument/2006/relationships" name="06_Scenarios" sheetId="7" state="visible" r:id="rId7"/>
    <sheet xmlns:r="http://schemas.openxmlformats.org/officeDocument/2006/relationships" name="07_Sensitivity" sheetId="8" state="visible" r:id="rId8"/>
    <sheet xmlns:r="http://schemas.openxmlformats.org/officeDocument/2006/relationships" name="08_Cash_Runway" sheetId="9" state="visible" r:id="rId9"/>
    <sheet xmlns:r="http://schemas.openxmlformats.org/officeDocument/2006/relationships" name="09_Market_Sizing"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0"/>
  </numFmts>
  <fonts count="8">
    <font>
      <name val="Calibri"/>
      <family val="2"/>
      <color theme="1"/>
      <sz val="11"/>
      <scheme val="minor"/>
    </font>
    <font>
      <name val="Calibri"/>
      <b val="1"/>
      <color rgb="001F3864"/>
      <sz val="16"/>
    </font>
    <font>
      <name val="Calibri"/>
      <i val="1"/>
      <color rgb="00595959"/>
      <sz val="9"/>
    </font>
    <font>
      <name val="Calibri"/>
      <b val="1"/>
      <sz val="10"/>
    </font>
    <font>
      <name val="Calibri"/>
      <sz val="10"/>
    </font>
    <font>
      <name val="Calibri"/>
      <b val="1"/>
      <color rgb="00FFFFFF"/>
      <sz val="10"/>
    </font>
    <font>
      <name val="Calibri"/>
      <color rgb="000000CC"/>
      <sz val="10"/>
    </font>
    <font>
      <name val="Calibri"/>
      <b val="1"/>
      <color rgb="001F3864"/>
      <sz val="12"/>
    </font>
  </fonts>
  <fills count="6">
    <fill>
      <patternFill/>
    </fill>
    <fill>
      <patternFill patternType="gray125"/>
    </fill>
    <fill>
      <patternFill patternType="solid">
        <fgColor rgb="00E2EFDA"/>
      </patternFill>
    </fill>
    <fill>
      <patternFill patternType="solid">
        <fgColor rgb="001F3864"/>
      </patternFill>
    </fill>
    <fill>
      <patternFill patternType="solid">
        <fgColor rgb="00FFF2CC"/>
      </patternFill>
    </fill>
    <fill>
      <patternFill patternType="solid">
        <fgColor rgb="00EAF1F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164" fontId="3" fillId="2" borderId="0" pivotButton="0" quotePrefix="0" xfId="0"/>
    <xf numFmtId="3" fontId="3" fillId="2" borderId="0" pivotButton="0" quotePrefix="0" xfId="0"/>
    <xf numFmtId="165" fontId="3" fillId="2" borderId="0" pivotButton="0" quotePrefix="0" xfId="0"/>
    <xf numFmtId="0" fontId="5" fillId="3" borderId="0" pivotButton="0" quotePrefix="0" xfId="0"/>
    <xf numFmtId="0" fontId="0" fillId="3" borderId="0" pivotButton="0" quotePrefix="0" xfId="0"/>
    <xf numFmtId="4" fontId="6" fillId="4" borderId="1" pivotButton="0" quotePrefix="0" xfId="0"/>
    <xf numFmtId="165" fontId="6" fillId="4" borderId="1" pivotButton="0" quotePrefix="0" xfId="0"/>
    <xf numFmtId="164" fontId="6" fillId="4" borderId="1" pivotButton="0" quotePrefix="0" xfId="0"/>
    <xf numFmtId="3" fontId="6" fillId="4" borderId="1" pivotButton="0" quotePrefix="0" xfId="0"/>
    <xf numFmtId="0" fontId="5" fillId="3" borderId="0" applyAlignment="1" pivotButton="0" quotePrefix="0" xfId="0">
      <alignment horizontal="center" vertical="center" wrapText="1"/>
    </xf>
    <xf numFmtId="3" fontId="6" fillId="4" borderId="1" applyAlignment="1" pivotButton="0" quotePrefix="0" xfId="0">
      <alignment horizontal="center"/>
    </xf>
    <xf numFmtId="164" fontId="6" fillId="4" borderId="1" applyAlignment="1" pivotButton="0" quotePrefix="0" xfId="0">
      <alignment horizontal="center"/>
    </xf>
    <xf numFmtId="165" fontId="6" fillId="4" borderId="1" applyAlignment="1" pivotButton="0" quotePrefix="0" xfId="0">
      <alignment horizontal="center"/>
    </xf>
    <xf numFmtId="166" fontId="6" fillId="4" borderId="1" applyAlignment="1" pivotButton="0" quotePrefix="0" xfId="0">
      <alignment horizontal="center"/>
    </xf>
    <xf numFmtId="4" fontId="0" fillId="0" borderId="0" pivotButton="0" quotePrefix="0" xfId="0"/>
    <xf numFmtId="165" fontId="0" fillId="0" borderId="0" pivotButton="0" quotePrefix="0" xfId="0"/>
    <xf numFmtId="3" fontId="0" fillId="0" borderId="0" pivotButton="0" quotePrefix="0" xfId="0"/>
    <xf numFmtId="164" fontId="0" fillId="2" borderId="0" pivotButton="0" quotePrefix="0" xfId="0"/>
    <xf numFmtId="165" fontId="0" fillId="2" borderId="0" pivotButton="0" quotePrefix="0" xfId="0"/>
    <xf numFmtId="0" fontId="3" fillId="5" borderId="0" pivotButton="0" quotePrefix="0" xfId="0"/>
    <xf numFmtId="0" fontId="4" fillId="5" borderId="0" pivotButton="0" quotePrefix="0" xfId="0"/>
    <xf numFmtId="3" fontId="3" fillId="5" borderId="0" pivotButton="0" quotePrefix="0" xfId="0"/>
    <xf numFmtId="4" fontId="3" fillId="5" borderId="0" pivotButton="0" quotePrefix="0" xfId="0"/>
    <xf numFmtId="165" fontId="3" fillId="5" borderId="0" pivotButton="0" quotePrefix="0" xfId="0"/>
    <xf numFmtId="166" fontId="6" fillId="4" borderId="1" pivotButton="0" quotePrefix="0" xfId="0"/>
    <xf numFmtId="164" fontId="0" fillId="0" borderId="0" pivotButton="0" quotePrefix="0" xfId="0"/>
    <xf numFmtId="0" fontId="7" fillId="5" borderId="0" pivotButton="0" quotePrefix="0" xfId="0"/>
    <xf numFmtId="0" fontId="0" fillId="5" borderId="0" pivotButton="0" quotePrefix="0" xfId="0"/>
    <xf numFmtId="3" fontId="0" fillId="2" borderId="0" pivotButton="0" quotePrefix="0" xfId="0"/>
    <xf numFmtId="4" fontId="3" fillId="2" borderId="0" pivotButton="0" quotePrefix="0" xfId="0"/>
    <xf numFmtId="0" fontId="2" fillId="0" borderId="0" applyAlignment="1" pivotButton="0" quotePrefix="0" xfId="0">
      <alignment wrapText="1"/>
    </xf>
    <xf numFmtId="4" fontId="3" fillId="0" borderId="0" pivotButton="0" quotePrefix="0" xfId="0"/>
    <xf numFmtId="3" fontId="3" fillId="0" borderId="0" pivotButton="0" quotePrefix="0" xfId="0"/>
    <xf numFmtId="0" fontId="3" fillId="0" borderId="0" applyAlignment="1" pivotButton="0" quotePrefix="0" xfId="0">
      <alignment vertical="top" wrapText="1"/>
    </xf>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Gross margin by property size</a:t>
            </a:r>
          </a:p>
        </rich>
      </tx>
    </title>
    <plotArea>
      <barChart>
        <barDir val="col"/>
        <grouping val="clustered"/>
        <ser>
          <idx val="0"/>
          <order val="0"/>
          <tx>
            <strRef>
              <f>'03_Unit_Economics'!O5</f>
            </strRef>
          </tx>
          <spPr>
            <a:ln xmlns:a="http://schemas.openxmlformats.org/drawingml/2006/main">
              <a:prstDash val="solid"/>
            </a:ln>
          </spPr>
          <cat>
            <numRef>
              <f>'03_Unit_Economics'!$B$6:$B$12</f>
            </numRef>
          </cat>
          <val>
            <numRef>
              <f>'03_Unit_Economics'!$O$6:$O$12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Gross profit per property per month</a:t>
            </a:r>
          </a:p>
        </rich>
      </tx>
    </title>
    <plotArea>
      <barChart>
        <barDir val="col"/>
        <grouping val="clustered"/>
        <ser>
          <idx val="0"/>
          <order val="0"/>
          <tx>
            <strRef>
              <f>'03_Unit_Economics'!N5</f>
            </strRef>
          </tx>
          <spPr>
            <a:ln xmlns:a="http://schemas.openxmlformats.org/drawingml/2006/main">
              <a:prstDash val="solid"/>
            </a:ln>
          </spPr>
          <cat>
            <numRef>
              <f>'03_Unit_Economics'!$B$6:$B$12</f>
            </numRef>
          </cat>
          <val>
            <numRef>
              <f>'03_Unit_Economics'!$N$6:$N$12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Cumulative cash by scenario</a:t>
            </a:r>
          </a:p>
        </rich>
      </tx>
    </title>
    <plotArea>
      <lineChart>
        <grouping val="standard"/>
        <ser>
          <idx val="0"/>
          <order val="0"/>
          <tx>
            <strRef>
              <f>'08_Cash_Runway'!C5</f>
            </strRef>
          </tx>
          <spPr>
            <a:ln xmlns:a="http://schemas.openxmlformats.org/drawingml/2006/main">
              <a:prstDash val="solid"/>
            </a:ln>
          </spPr>
          <marker>
            <symbol val="none"/>
            <spPr>
              <a:ln xmlns:a="http://schemas.openxmlformats.org/drawingml/2006/main">
                <a:prstDash val="solid"/>
              </a:ln>
            </spPr>
          </marker>
          <cat>
            <numRef>
              <f>'08_Cash_Runway'!$B$6:$B$29</f>
            </numRef>
          </cat>
          <val>
            <numRef>
              <f>'08_Cash_Runway'!$C$6:$C$29</f>
            </numRef>
          </val>
        </ser>
        <ser>
          <idx val="1"/>
          <order val="1"/>
          <tx>
            <strRef>
              <f>'08_Cash_Runway'!D5</f>
            </strRef>
          </tx>
          <spPr>
            <a:ln xmlns:a="http://schemas.openxmlformats.org/drawingml/2006/main">
              <a:prstDash val="solid"/>
            </a:ln>
          </spPr>
          <marker>
            <symbol val="none"/>
            <spPr>
              <a:ln xmlns:a="http://schemas.openxmlformats.org/drawingml/2006/main">
                <a:prstDash val="solid"/>
              </a:ln>
            </spPr>
          </marker>
          <cat>
            <numRef>
              <f>'08_Cash_Runway'!$B$6:$B$29</f>
            </numRef>
          </cat>
          <val>
            <numRef>
              <f>'08_Cash_Runway'!$D$6:$D$29</f>
            </numRef>
          </val>
        </ser>
        <ser>
          <idx val="2"/>
          <order val="2"/>
          <tx>
            <strRef>
              <f>'08_Cash_Runway'!E5</f>
            </strRef>
          </tx>
          <spPr>
            <a:ln xmlns:a="http://schemas.openxmlformats.org/drawingml/2006/main">
              <a:prstDash val="solid"/>
            </a:ln>
          </spPr>
          <marker>
            <symbol val="none"/>
            <spPr>
              <a:ln xmlns:a="http://schemas.openxmlformats.org/drawingml/2006/main">
                <a:prstDash val="solid"/>
              </a:ln>
            </spPr>
          </marker>
          <cat>
            <numRef>
              <f>'08_Cash_Runway'!$B$6:$B$29</f>
            </numRef>
          </cat>
          <val>
            <numRef>
              <f>'08_Cash_Runway'!$E$6:$E$29</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28</col>
      <colOff>0</colOff>
      <row>4</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28</col>
      <colOff>0</colOff>
      <row>23</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5</col>
      <colOff>0</colOff>
      <row>5</row>
      <rowOff>0</rowOff>
    </from>
    <ext cx="68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C18"/>
  <sheetViews>
    <sheetView showGridLines="0" workbookViewId="0">
      <selection activeCell="A1" sqref="A1"/>
    </sheetView>
  </sheetViews>
  <sheetFormatPr baseColWidth="8" defaultRowHeight="15"/>
  <cols>
    <col width="3" customWidth="1" min="1" max="1"/>
    <col width="38" customWidth="1" min="2" max="2"/>
    <col width="118" customWidth="1" min="3" max="3"/>
  </cols>
  <sheetData>
    <row r="2">
      <c r="B2" s="1" t="inlineStr">
        <is>
          <t>AI Concierge for Luxury Hotels — MVP Financial Model</t>
        </is>
      </c>
    </row>
    <row r="3">
      <c r="B3" s="2" t="inlineStr">
        <is>
          <t>All inputs are blue. Change one and every downstream number updates.</t>
        </is>
      </c>
    </row>
    <row r="5" ht="46" customHeight="1">
      <c r="B5" s="3" t="inlineStr">
        <is>
          <t>PURPOSE</t>
        </is>
      </c>
      <c r="C5" s="4" t="inlineStr">
        <is>
          <t>Answers three questions. (1) Does a single property make money at every size? (2) How many properties are needed to break even? (3) How much cash is required before that point?</t>
        </is>
      </c>
    </row>
    <row r="6" ht="46" customHeight="1">
      <c r="B6" s="3" t="inlineStr">
        <is>
          <t>HOW TO USE</t>
        </is>
      </c>
      <c r="C6" s="4" t="inlineStr">
        <is>
          <t>01_Assumptions — global costs and commercial rates. 02_Property_Sizes — the five archetypes (rooms, engagement, price, mix). 03_Unit_Economics — per-property P&amp;L, payback and LTV, computed live. 04_Messaging_Costs — WhatsApp cost by market. 05_Ramp — 24-month model for three scenarios. 06_Scenarios — side-by-side outcome. 07_Sensitivity — where the model breaks. 08_Cash_Runway — funding requirement.</t>
        </is>
      </c>
    </row>
    <row r="7" ht="16" customHeight="1">
      <c r="B7" s="3" t="inlineStr">
        <is>
          <t>LEGEND</t>
        </is>
      </c>
      <c r="C7" s="4" t="inlineStr">
        <is>
          <t>Blue text on amber = input. Black = formula. Green = headline output.</t>
        </is>
      </c>
    </row>
    <row r="8" ht="46" customHeight="1">
      <c r="B8" s="3" t="inlineStr">
        <is>
          <t>THE CORE INSIGHT</t>
        </is>
      </c>
      <c r="C8" s="4" t="inlineStr">
        <is>
          <t>Revenue steps up with rooms, but cost is driven by conversations — and conversations per room FALL as properties grow (small properties message far more per key). Gross margin is therefore weakest at the small end and strongest at the large end, while onboarding labour per property is highest at the large end. The price curve is built to reflect exactly that.</t>
        </is>
      </c>
    </row>
    <row r="9" ht="46" customHeight="1">
      <c r="B9" s="3" t="inlineStr">
        <is>
          <t>CONVENTIONS</t>
        </is>
      </c>
      <c r="C9" s="4" t="inlineStr">
        <is>
          <t>A conversation is one guest thread, not one message. 'Business messages' = what the hotel sends. WhatsApp fees apply per delivered business message after 1,000 free service messages per number per month (Meta, effective 1 Oct 2026). Gross margin includes support labour — deliberately conservative. All values USD, pre-tax, pre-dilution.</t>
        </is>
      </c>
    </row>
    <row r="10" ht="16" customHeight="1">
      <c r="B10" s="3" t="inlineStr">
        <is>
          <t>EXCLUDED</t>
        </is>
      </c>
      <c r="C10" s="4" t="inlineStr">
        <is>
          <t>Income tax, VAT, equity raised, FX movement, bad debt.</t>
        </is>
      </c>
    </row>
    <row r="12">
      <c r="B12" s="3" t="inlineStr">
        <is>
          <t>HEADLINE OUTPUTS (live)</t>
        </is>
      </c>
    </row>
    <row r="13">
      <c r="B13" s="5" t="inlineStr">
        <is>
          <t>Blended gross margin</t>
        </is>
      </c>
      <c r="C13" s="6">
        <f>'03_Unit_Economics'!O12</f>
        <v>0.8457150998862344</v>
      </c>
    </row>
    <row r="14">
      <c r="B14" s="5" t="inlineStr">
        <is>
          <t>Blended gross profit / property / month</t>
        </is>
      </c>
      <c r="C14" s="7">
        <f>'01_Assumptions'!C43</f>
        <v>371.69178639999996</v>
      </c>
    </row>
    <row r="15">
      <c r="B15" s="5" t="inlineStr">
        <is>
          <t>Properties needed to cover fixed opex</t>
        </is>
      </c>
      <c r="C15" s="8">
        <f>'07_Sensitivity'!C28</f>
        <v>19.370888094502163</v>
      </c>
    </row>
    <row r="16">
      <c r="B16" s="5" t="inlineStr">
        <is>
          <t>Base-case MRR, month 24</t>
        </is>
      </c>
      <c r="C16" s="7">
        <f>'06_Scenarios'!D9</f>
        <v>13624.499999999998</v>
      </c>
    </row>
    <row r="17">
      <c r="B17" s="5" t="inlineStr">
        <is>
          <t>Base-case peak funding requirement</t>
        </is>
      </c>
      <c r="C17" s="7">
        <f>ABS('06_Scenarios'!D16)</f>
        <v>63960.97207840002</v>
      </c>
    </row>
    <row r="18">
      <c r="B18" s="5" t="inlineStr">
        <is>
          <t>Conservative peak funding requirement</t>
        </is>
      </c>
      <c r="C18" s="7">
        <f>ABS('06_Scenarios'!C16)</f>
        <v>80866.8349136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43"/>
  <sheetViews>
    <sheetView showGridLines="0" workbookViewId="0">
      <selection activeCell="A1" sqref="A1"/>
    </sheetView>
  </sheetViews>
  <sheetFormatPr baseColWidth="8" defaultRowHeight="15"/>
  <cols>
    <col width="3" customWidth="1" min="1" max="1"/>
    <col width="46" customWidth="1" min="2" max="2"/>
    <col width="15" customWidth="1" min="3" max="3"/>
    <col width="14" customWidth="1" min="4" max="4"/>
    <col width="58" customWidth="1" min="5" max="5"/>
  </cols>
  <sheetData>
    <row r="2">
      <c r="B2" s="1" t="inlineStr">
        <is>
          <t>Global assumptions</t>
        </is>
      </c>
    </row>
    <row r="3">
      <c r="B3" s="2" t="inlineStr">
        <is>
          <t>Single source of truth for every cost and commercial rate.</t>
        </is>
      </c>
    </row>
    <row r="5">
      <c r="B5" s="9" t="inlineStr">
        <is>
          <t>COST OF SERVICE</t>
        </is>
      </c>
      <c r="C5" s="10" t="n"/>
      <c r="D5" s="10" t="n"/>
      <c r="E5" s="10" t="n"/>
      <c r="F5" s="10" t="n"/>
    </row>
    <row r="6">
      <c r="B6" s="5" t="inlineStr">
        <is>
          <t>Support / success labour rate</t>
        </is>
      </c>
      <c r="C6" s="11" t="n">
        <v>32</v>
      </c>
      <c r="D6" s="5" t="inlineStr">
        <is>
          <t>$/hour</t>
        </is>
      </c>
      <c r="E6" s="2" t="inlineStr">
        <is>
          <t>Blended contractor rate</t>
        </is>
      </c>
    </row>
    <row r="7">
      <c r="B7" s="5" t="inlineStr">
        <is>
          <t>Onboarding labour rate</t>
        </is>
      </c>
      <c r="C7" s="11" t="n">
        <v>32</v>
      </c>
      <c r="D7" s="5" t="inlineStr">
        <is>
          <t>$/hour</t>
        </is>
      </c>
      <c r="E7" s="2" t="inlineStr">
        <is>
          <t>Costs setup against the setup fee</t>
        </is>
      </c>
    </row>
    <row r="8">
      <c r="B8" s="5" t="inlineStr">
        <is>
          <t>Fallback support hours / property / month</t>
        </is>
      </c>
      <c r="C8" s="12" t="n">
        <v>1.3</v>
      </c>
      <c r="D8" s="5" t="inlineStr">
        <is>
          <t>hours</t>
        </is>
      </c>
      <c r="E8" s="2" t="inlineStr">
        <is>
          <t>Overridden per tier on 02</t>
        </is>
      </c>
    </row>
    <row r="9">
      <c r="B9" s="5" t="inlineStr">
        <is>
          <t>Payment processing</t>
        </is>
      </c>
      <c r="C9" s="13" t="n">
        <v>0.029</v>
      </c>
      <c r="D9" s="5" t="inlineStr">
        <is>
          <t>% of revenue</t>
        </is>
      </c>
      <c r="E9" s="2" t="inlineStr">
        <is>
          <t>Card fees on subscription revenue</t>
        </is>
      </c>
    </row>
    <row r="11">
      <c r="B11" s="9" t="inlineStr">
        <is>
          <t>INFRASTRUCTURE</t>
        </is>
      </c>
      <c r="C11" s="10" t="n"/>
      <c r="D11" s="10" t="n"/>
      <c r="E11" s="10" t="n"/>
      <c r="F11" s="10" t="n"/>
    </row>
    <row r="12">
      <c r="B12" s="5" t="inlineStr">
        <is>
          <t>Fixed infra pool</t>
        </is>
      </c>
      <c r="C12" s="11" t="n">
        <v>260</v>
      </c>
      <c r="D12" s="5" t="inlineStr">
        <is>
          <t>$/month</t>
        </is>
      </c>
      <c r="E12" s="2" t="inlineStr">
        <is>
          <t>Supabase Pro + compute, Vercel Pro, Resend, Sentry</t>
        </is>
      </c>
    </row>
    <row r="13">
      <c r="B13" s="5" t="inlineStr">
        <is>
          <t>Properties the pool is allocated over</t>
        </is>
      </c>
      <c r="C13" s="14" t="n">
        <v>25</v>
      </c>
      <c r="D13" s="5" t="inlineStr">
        <is>
          <t>properties</t>
        </is>
      </c>
      <c r="E13" s="2" t="inlineStr">
        <is>
          <t>Pool / N = per-property infra COGS</t>
        </is>
      </c>
    </row>
    <row r="14">
      <c r="B14" s="5" t="inlineStr">
        <is>
          <t>Per-property variable infra</t>
        </is>
      </c>
      <c r="C14" s="11" t="n">
        <v>1.5</v>
      </c>
      <c r="D14" s="5" t="inlineStr">
        <is>
          <t>$/month</t>
        </is>
      </c>
      <c r="E14" s="2" t="inlineStr">
        <is>
          <t>Storage, bandwidth, embedding storage</t>
        </is>
      </c>
    </row>
    <row r="16">
      <c r="B16" s="9" t="inlineStr">
        <is>
          <t>AI COSTS</t>
        </is>
      </c>
      <c r="C16" s="10" t="n"/>
      <c r="D16" s="10" t="n"/>
      <c r="E16" s="10" t="n"/>
      <c r="F16" s="10" t="n"/>
    </row>
    <row r="17">
      <c r="B17" s="5" t="inlineStr">
        <is>
          <t>LLM input price</t>
        </is>
      </c>
      <c r="C17" s="11" t="n">
        <v>0.1</v>
      </c>
      <c r="D17" s="5" t="inlineStr">
        <is>
          <t>$ / 1M tokens</t>
        </is>
      </c>
      <c r="E17" s="2" t="inlineStr">
        <is>
          <t>Current small-model tier; not a margin driver</t>
        </is>
      </c>
    </row>
    <row r="18">
      <c r="B18" s="5" t="inlineStr">
        <is>
          <t>LLM output price</t>
        </is>
      </c>
      <c r="C18" s="11" t="n">
        <v>0.5</v>
      </c>
      <c r="D18" s="5" t="inlineStr">
        <is>
          <t>$ / 1M tokens</t>
        </is>
      </c>
      <c r="E18" s="2" t="inlineStr"/>
    </row>
    <row r="19">
      <c r="B19" s="5" t="inlineStr">
        <is>
          <t>Input tokens / conversation</t>
        </is>
      </c>
      <c r="C19" s="14" t="n">
        <v>18000</v>
      </c>
      <c r="D19" s="5" t="inlineStr">
        <is>
          <t>tokens</t>
        </is>
      </c>
      <c r="E19" s="2" t="inlineStr">
        <is>
          <t>~5 turns with RAG context, history, facts block</t>
        </is>
      </c>
    </row>
    <row r="20">
      <c r="B20" s="5" t="inlineStr">
        <is>
          <t>Output tokens / conversation</t>
        </is>
      </c>
      <c r="C20" s="14" t="n">
        <v>700</v>
      </c>
      <c r="D20" s="5" t="inlineStr">
        <is>
          <t>tokens</t>
        </is>
      </c>
      <c r="E20" s="2" t="inlineStr">
        <is>
          <t>Luxury tone runs slightly longer</t>
        </is>
      </c>
    </row>
    <row r="21">
      <c r="B21" s="5" t="inlineStr">
        <is>
          <t>Aux AI / conversation</t>
        </is>
      </c>
      <c r="C21" s="11" t="n">
        <v>0.002</v>
      </c>
      <c r="D21" s="5" t="inlineStr">
        <is>
          <t>$/conversation</t>
        </is>
      </c>
      <c r="E21" s="2" t="inlineStr">
        <is>
          <t>Escalation classifier, intent + sentiment, summaries</t>
        </is>
      </c>
    </row>
    <row r="23">
      <c r="B23" s="9" t="inlineStr">
        <is>
          <t>MESSAGING</t>
        </is>
      </c>
      <c r="C23" s="10" t="n"/>
      <c r="D23" s="10" t="n"/>
      <c r="E23" s="10" t="n"/>
      <c r="F23" s="10" t="n"/>
    </row>
    <row r="24">
      <c r="B24" s="5" t="inlineStr">
        <is>
          <t>BSP markup on WhatsApp</t>
        </is>
      </c>
      <c r="C24" s="13" t="n">
        <v>0.2</v>
      </c>
      <c r="D24" s="5" t="inlineStr">
        <is>
          <t>% on Meta fee</t>
        </is>
      </c>
      <c r="E24" s="2" t="inlineStr">
        <is>
          <t>Passed through to the hotel at cost + markup</t>
        </is>
      </c>
    </row>
    <row r="25">
      <c r="B25" s="5" t="inlineStr">
        <is>
          <t>Free service messages / number / month</t>
        </is>
      </c>
      <c r="C25" s="14" t="n">
        <v>1000</v>
      </c>
      <c r="D25" s="5" t="inlineStr">
        <is>
          <t>messages</t>
        </is>
      </c>
      <c r="E25" s="2" t="inlineStr">
        <is>
          <t>Meta allowance; resets monthly, no rollover</t>
        </is>
      </c>
    </row>
    <row r="26">
      <c r="B26" s="5" t="inlineStr">
        <is>
          <t>Business messages / conversation</t>
        </is>
      </c>
      <c r="C26" s="14" t="n">
        <v>5</v>
      </c>
      <c r="D26" s="5" t="inlineStr">
        <is>
          <t>messages</t>
        </is>
      </c>
      <c r="E26" s="2" t="inlineStr">
        <is>
          <t>Hotel-sent replies per thread</t>
        </is>
      </c>
    </row>
    <row r="28">
      <c r="B28" s="9" t="inlineStr">
        <is>
          <t>COMMERCIAL</t>
        </is>
      </c>
      <c r="C28" s="10" t="n"/>
      <c r="D28" s="10" t="n"/>
      <c r="E28" s="10" t="n"/>
      <c r="F28" s="10" t="n"/>
    </row>
    <row r="29">
      <c r="B29" s="5" t="inlineStr">
        <is>
          <t>Setup fee (one-time)</t>
        </is>
      </c>
      <c r="C29" s="14" t="n">
        <v>500</v>
      </c>
      <c r="D29" s="5" t="inlineStr">
        <is>
          <t>$</t>
        </is>
      </c>
      <c r="E29" s="2" t="inlineStr">
        <is>
          <t>Per property</t>
        </is>
      </c>
    </row>
    <row r="30">
      <c r="B30" s="5" t="inlineStr">
        <is>
          <t>Setup fee waived / discounted share</t>
        </is>
      </c>
      <c r="C30" s="13" t="n">
        <v>0.5</v>
      </c>
      <c r="D30" s="5" t="inlineStr">
        <is>
          <t>%</t>
        </is>
      </c>
      <c r="E30" s="2" t="inlineStr">
        <is>
          <t>Design partners + negotiation room</t>
        </is>
      </c>
    </row>
    <row r="31">
      <c r="B31" s="5" t="inlineStr">
        <is>
          <t>Monthly gross churn (paid)</t>
        </is>
      </c>
      <c r="C31" s="13" t="n">
        <v>0.025</v>
      </c>
      <c r="D31" s="5" t="inlineStr">
        <is>
          <t>%</t>
        </is>
      </c>
      <c r="E31" s="2" t="inlineStr">
        <is>
          <t>26% annualised; stress-tested on 07</t>
        </is>
      </c>
    </row>
    <row r="32">
      <c r="B32" s="5" t="inlineStr">
        <is>
          <t>Pilot → paid conversion</t>
        </is>
      </c>
      <c r="C32" s="13" t="n">
        <v>0.6</v>
      </c>
      <c r="D32" s="5" t="inlineStr">
        <is>
          <t>%</t>
        </is>
      </c>
      <c r="E32" s="2" t="inlineStr">
        <is>
          <t>Within ~1 month of going live</t>
        </is>
      </c>
    </row>
    <row r="33">
      <c r="B33" s="5" t="inlineStr">
        <is>
          <t>Blended CAC</t>
        </is>
      </c>
      <c r="C33" s="14" t="n">
        <v>900</v>
      </c>
      <c r="D33" s="5" t="inlineStr">
        <is>
          <t>$</t>
        </is>
      </c>
      <c r="E33" s="2" t="inlineStr">
        <is>
          <t>Founder-led outbound, content, demo time</t>
        </is>
      </c>
    </row>
    <row r="35">
      <c r="B35" s="9" t="inlineStr">
        <is>
          <t>RAMP AND OPEX</t>
        </is>
      </c>
      <c r="C35" s="10" t="n"/>
      <c r="D35" s="10" t="n"/>
      <c r="E35" s="10" t="n"/>
      <c r="F35" s="10" t="n"/>
    </row>
    <row r="36">
      <c r="B36" s="5" t="inlineStr">
        <is>
          <t>Fixed opex, base</t>
        </is>
      </c>
      <c r="C36" s="14" t="n">
        <v>7200</v>
      </c>
      <c r="D36" s="5" t="inlineStr">
        <is>
          <t>$/month</t>
        </is>
      </c>
      <c r="E36" s="2" t="inlineStr">
        <is>
          <t>Founder draw 4,500 + tools 400 + marketing 800 + contractor 1,500</t>
        </is>
      </c>
    </row>
    <row r="37">
      <c r="B37" s="5" t="inlineStr">
        <is>
          <t>Opex step (support hire)</t>
        </is>
      </c>
      <c r="C37" s="14" t="n">
        <v>3600</v>
      </c>
      <c r="D37" s="5" t="inlineStr">
        <is>
          <t>$/month</t>
        </is>
      </c>
      <c r="E37" s="2" t="inlineStr">
        <is>
          <t>Added at each threshold</t>
        </is>
      </c>
    </row>
    <row r="38">
      <c r="B38" s="5" t="inlineStr">
        <is>
          <t>Step threshold 1 (active properties)</t>
        </is>
      </c>
      <c r="C38" s="14" t="n">
        <v>25</v>
      </c>
      <c r="D38" s="5" t="inlineStr">
        <is>
          <t>properties</t>
        </is>
      </c>
      <c r="E38" s="2" t="inlineStr"/>
    </row>
    <row r="39">
      <c r="B39" s="5" t="inlineStr">
        <is>
          <t>Step threshold 2 (active properties)</t>
        </is>
      </c>
      <c r="C39" s="14" t="n">
        <v>55</v>
      </c>
      <c r="D39" s="5" t="inlineStr">
        <is>
          <t>properties</t>
        </is>
      </c>
      <c r="E39" s="2" t="inlineStr"/>
    </row>
    <row r="40">
      <c r="B40" s="5" t="inlineStr">
        <is>
          <t>Pre-launch capital (weeks 1-6)</t>
        </is>
      </c>
      <c r="C40" s="14" t="n">
        <v>17000</v>
      </c>
      <c r="D40" s="5" t="inlineStr">
        <is>
          <t>$</t>
        </is>
      </c>
      <c r="E40" s="2" t="inlineStr">
        <is>
          <t>1.5 months opex + legal/DPA/design/BSP + external security review</t>
        </is>
      </c>
    </row>
    <row r="41">
      <c r="B41" s="5" t="inlineStr">
        <is>
          <t>Blended ARPU (price × mix)</t>
        </is>
      </c>
      <c r="C41" s="11">
        <f>SUMPRODUCT('02_Property_Sizes'!P6:P10,'02_Property_Sizes'!M6:M10)</f>
        <v>439.49999999999994</v>
      </c>
      <c r="D41" s="5" t="inlineStr">
        <is>
          <t>$/month</t>
        </is>
      </c>
      <c r="E41" s="2" t="inlineStr">
        <is>
          <t>Computed from tier prices × mix</t>
        </is>
      </c>
    </row>
    <row r="42">
      <c r="B42" s="5" t="inlineStr">
        <is>
          <t>Blended COGS / property (live)</t>
        </is>
      </c>
      <c r="C42" s="11">
        <f>SUMPRODUCT('02_Property_Sizes'!P6:P10,'03_Unit_Economics'!M6:M10)</f>
        <v>67.8082136</v>
      </c>
      <c r="D42" s="5" t="inlineStr">
        <is>
          <t>$/month</t>
        </is>
      </c>
      <c r="E42" s="2" t="inlineStr">
        <is>
          <t>Computed from per-tier COGS × mix</t>
        </is>
      </c>
    </row>
    <row r="43">
      <c r="B43" s="5" t="inlineStr">
        <is>
          <t>Blended gross profit / property</t>
        </is>
      </c>
      <c r="C43" s="11">
        <f>C41-C42</f>
        <v>371.69178639999996</v>
      </c>
      <c r="D43" s="5" t="inlineStr">
        <is>
          <t>$/month</t>
        </is>
      </c>
      <c r="E43" s="2" t="inlineStr">
        <is>
          <t>Used for breakeven property count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R21"/>
  <sheetViews>
    <sheetView showGridLines="0" workbookViewId="0">
      <selection activeCell="A1" sqref="A1"/>
    </sheetView>
  </sheetViews>
  <sheetFormatPr baseColWidth="8" defaultRowHeight="15"/>
  <cols>
    <col width="3" customWidth="1" min="1" max="1"/>
    <col width="8" customWidth="1" min="2" max="2"/>
    <col width="22" customWidth="1" min="3" max="3"/>
    <col width="13" customWidth="1" min="4" max="4"/>
    <col width="14" customWidth="1" min="5" max="5"/>
    <col width="16"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2" customWidth="1" min="14" max="14"/>
    <col width="15" customWidth="1" min="15" max="15"/>
    <col width="13" customWidth="1" min="16" max="16"/>
    <col width="11" customWidth="1" min="17" max="17"/>
    <col width="16" customWidth="1" min="18" max="18"/>
  </cols>
  <sheetData>
    <row r="2">
      <c r="B2" s="1" t="inlineStr">
        <is>
          <t>Property archetypes — drivers, price and mix</t>
        </is>
      </c>
    </row>
    <row r="3">
      <c r="B3" s="2" t="inlineStr">
        <is>
          <t>The five sizes we sell to. Engagement per room falls as properties grow; price per room falls with it.</t>
        </is>
      </c>
    </row>
    <row r="5" ht="56" customHeight="1">
      <c r="B5" s="15" t="inlineStr">
        <is>
          <t>Tier</t>
        </is>
      </c>
      <c r="C5" s="15" t="inlineStr">
        <is>
          <t>Segment</t>
        </is>
      </c>
      <c r="D5" s="15" t="inlineStr">
        <is>
          <t>Rooms</t>
        </is>
      </c>
      <c r="E5" s="15" t="inlineStr">
        <is>
          <t>Occupancy</t>
        </is>
      </c>
      <c r="F5" s="15" t="inlineStr">
        <is>
          <t>Conversations / room / mo</t>
        </is>
      </c>
      <c r="G5" s="15" t="inlineStr">
        <is>
          <t>Messages / conversation</t>
        </is>
      </c>
      <c r="H5" s="15" t="inlineStr">
        <is>
          <t>WhatsApp share</t>
        </is>
      </c>
      <c r="I5" s="15" t="inlineStr">
        <is>
          <t>Escalation rate</t>
        </is>
      </c>
      <c r="J5" s="15" t="inlineStr">
        <is>
          <t>Staff min / escalation</t>
        </is>
      </c>
      <c r="K5" s="15" t="inlineStr">
        <is>
          <t>Support hours / mo</t>
        </is>
      </c>
      <c r="L5" s="15" t="inlineStr">
        <is>
          <t>Onboarding hours</t>
        </is>
      </c>
      <c r="M5" s="15" t="inlineStr">
        <is>
          <t>List price $/mo</t>
        </is>
      </c>
      <c r="N5" s="15" t="inlineStr">
        <is>
          <t>Setup fee $</t>
        </is>
      </c>
      <c r="O5" s="15" t="inlineStr">
        <is>
          <t>WhatsApp $/message</t>
        </is>
      </c>
      <c r="P5" s="15" t="inlineStr">
        <is>
          <t>Share of new logos</t>
        </is>
      </c>
    </row>
    <row r="6">
      <c r="B6" s="3" t="inlineStr">
        <is>
          <t>T1</t>
        </is>
      </c>
      <c r="C6" s="5" t="inlineStr">
        <is>
          <t>Boutique / casita</t>
        </is>
      </c>
      <c r="D6" s="16" t="n">
        <v>15</v>
      </c>
      <c r="E6" s="17" t="n">
        <v>0.7</v>
      </c>
      <c r="F6" s="18" t="n">
        <v>3</v>
      </c>
      <c r="G6" s="16" t="n">
        <v>7</v>
      </c>
      <c r="H6" s="17" t="n">
        <v>0.6</v>
      </c>
      <c r="I6" s="17" t="n">
        <v>0.3</v>
      </c>
      <c r="J6" s="18" t="n">
        <v>6</v>
      </c>
      <c r="K6" s="18" t="n">
        <v>0.9</v>
      </c>
      <c r="L6" s="18" t="n">
        <v>2.5</v>
      </c>
      <c r="M6" s="16" t="n">
        <v>299</v>
      </c>
      <c r="N6" s="16" t="n">
        <v>500</v>
      </c>
      <c r="O6" s="19" t="n">
        <v>0.008500000000000001</v>
      </c>
      <c r="P6" s="17" t="n">
        <v>0.2</v>
      </c>
    </row>
    <row r="7">
      <c r="B7" s="3" t="inlineStr">
        <is>
          <t>T2</t>
        </is>
      </c>
      <c r="C7" s="5" t="inlineStr">
        <is>
          <t>Boutique luxury</t>
        </is>
      </c>
      <c r="D7" s="16" t="n">
        <v>30</v>
      </c>
      <c r="E7" s="17" t="n">
        <v>0.72</v>
      </c>
      <c r="F7" s="18" t="n">
        <v>2.6</v>
      </c>
      <c r="G7" s="16" t="n">
        <v>7</v>
      </c>
      <c r="H7" s="17" t="n">
        <v>0.65</v>
      </c>
      <c r="I7" s="17" t="n">
        <v>0.28</v>
      </c>
      <c r="J7" s="18" t="n">
        <v>6</v>
      </c>
      <c r="K7" s="18" t="n">
        <v>1.1</v>
      </c>
      <c r="L7" s="18" t="n">
        <v>3</v>
      </c>
      <c r="M7" s="16" t="n">
        <v>349</v>
      </c>
      <c r="N7" s="16" t="n">
        <v>500</v>
      </c>
      <c r="O7" s="19" t="n">
        <v>0.008500000000000001</v>
      </c>
      <c r="P7" s="17" t="n">
        <v>0.42</v>
      </c>
    </row>
    <row r="8">
      <c r="B8" s="3" t="inlineStr">
        <is>
          <t>T3</t>
        </is>
      </c>
      <c r="C8" s="5" t="inlineStr">
        <is>
          <t>Luxury city hotel</t>
        </is>
      </c>
      <c r="D8" s="16" t="n">
        <v>60</v>
      </c>
      <c r="E8" s="17" t="n">
        <v>0.75</v>
      </c>
      <c r="F8" s="18" t="n">
        <v>2.2</v>
      </c>
      <c r="G8" s="16" t="n">
        <v>8</v>
      </c>
      <c r="H8" s="17" t="n">
        <v>0.7</v>
      </c>
      <c r="I8" s="17" t="n">
        <v>0.25</v>
      </c>
      <c r="J8" s="18" t="n">
        <v>7</v>
      </c>
      <c r="K8" s="18" t="n">
        <v>1.4</v>
      </c>
      <c r="L8" s="18" t="n">
        <v>4</v>
      </c>
      <c r="M8" s="16" t="n">
        <v>449</v>
      </c>
      <c r="N8" s="16" t="n">
        <v>500</v>
      </c>
      <c r="O8" s="19" t="n">
        <v>0.008500000000000001</v>
      </c>
      <c r="P8" s="17" t="n">
        <v>0.23</v>
      </c>
    </row>
    <row r="9">
      <c r="B9" s="3" t="inlineStr">
        <is>
          <t>T4</t>
        </is>
      </c>
      <c r="C9" s="5" t="inlineStr">
        <is>
          <t>Resort</t>
        </is>
      </c>
      <c r="D9" s="16" t="n">
        <v>120</v>
      </c>
      <c r="E9" s="17" t="n">
        <v>0.78</v>
      </c>
      <c r="F9" s="18" t="n">
        <v>1.9</v>
      </c>
      <c r="G9" s="16" t="n">
        <v>8</v>
      </c>
      <c r="H9" s="17" t="n">
        <v>0.72</v>
      </c>
      <c r="I9" s="17" t="n">
        <v>0.24</v>
      </c>
      <c r="J9" s="18" t="n">
        <v>7</v>
      </c>
      <c r="K9" s="18" t="n">
        <v>1.9</v>
      </c>
      <c r="L9" s="18" t="n">
        <v>5.5</v>
      </c>
      <c r="M9" s="16" t="n">
        <v>699</v>
      </c>
      <c r="N9" s="16" t="n">
        <v>750</v>
      </c>
      <c r="O9" s="19" t="n">
        <v>0.008500000000000001</v>
      </c>
      <c r="P9" s="17" t="n">
        <v>0.1</v>
      </c>
    </row>
    <row r="10">
      <c r="B10" s="3" t="inlineStr">
        <is>
          <t>T5</t>
        </is>
      </c>
      <c r="C10" s="5" t="inlineStr">
        <is>
          <t>Large resort / flagship</t>
        </is>
      </c>
      <c r="D10" s="16" t="n">
        <v>250</v>
      </c>
      <c r="E10" s="17" t="n">
        <v>0.8</v>
      </c>
      <c r="F10" s="18" t="n">
        <v>1.7</v>
      </c>
      <c r="G10" s="16" t="n">
        <v>9</v>
      </c>
      <c r="H10" s="17" t="n">
        <v>0.75</v>
      </c>
      <c r="I10" s="17" t="n">
        <v>0.22</v>
      </c>
      <c r="J10" s="18" t="n">
        <v>8</v>
      </c>
      <c r="K10" s="18" t="n">
        <v>2.8</v>
      </c>
      <c r="L10" s="18" t="n">
        <v>7.5</v>
      </c>
      <c r="M10" s="16" t="n">
        <v>1199</v>
      </c>
      <c r="N10" s="16" t="n">
        <v>1000</v>
      </c>
      <c r="O10" s="19" t="n">
        <v>0.008500000000000001</v>
      </c>
      <c r="P10" s="17" t="n">
        <v>0.05</v>
      </c>
    </row>
    <row r="11">
      <c r="B11" s="3" t="inlineStr">
        <is>
          <t>Total</t>
        </is>
      </c>
      <c r="P11" s="6">
        <f>SUM(P6:P10)</f>
        <v>1</v>
      </c>
      <c r="Q11" s="3" t="str">
        <f>IF(ABS(P11-1)&lt;0.0001,"mix OK","FIX MIX")</f>
        <v>mix OK</v>
      </c>
      <c r="R11" s="2" t="inlineStr">
        <is>
          <t>← must equal 100%</t>
        </is>
      </c>
    </row>
    <row r="13">
      <c r="B13" s="3" t="inlineStr">
        <is>
          <t>Derived per-property metrics (formulas)</t>
        </is>
      </c>
    </row>
    <row r="14">
      <c r="B14" s="2" t="inlineStr">
        <is>
          <t>Feeds 03_Unit_Economics, 04_Messaging_Costs and the ramp model.</t>
        </is>
      </c>
    </row>
    <row r="16" ht="44" customHeight="1">
      <c r="B16" s="15" t="inlineStr">
        <is>
          <t>Tier</t>
        </is>
      </c>
      <c r="C16" s="15" t="inlineStr">
        <is>
          <t>Conversations / mo</t>
        </is>
      </c>
      <c r="D16" s="15" t="inlineStr">
        <is>
          <t>Business messages / mo</t>
        </is>
      </c>
      <c r="E16" s="15" t="inlineStr">
        <is>
          <t>WhatsApp messages / mo</t>
        </is>
      </c>
      <c r="F16" s="15" t="inlineStr">
        <is>
          <t>Billable WhatsApp msgs / mo</t>
        </is>
      </c>
      <c r="G16" s="15" t="inlineStr">
        <is>
          <t>Effective price / room / mo</t>
        </is>
      </c>
      <c r="H16" s="15" t="inlineStr">
        <is>
          <t>Conv. / room (check)</t>
        </is>
      </c>
    </row>
    <row r="17">
      <c r="B17" s="5" t="str">
        <f>B6</f>
        <v>T1</v>
      </c>
      <c r="C17" s="20">
        <f>D6*F6</f>
        <v>45</v>
      </c>
      <c r="D17" s="20">
        <f>C17*G6</f>
        <v>315</v>
      </c>
      <c r="E17" s="20">
        <f>D17*H6</f>
        <v>189</v>
      </c>
      <c r="F17" s="20">
        <f>MAX(0,E17-'01_Assumptions'!C25)</f>
        <v>0</v>
      </c>
      <c r="G17" s="20">
        <f>M6/D6</f>
        <v>19.933333333333334</v>
      </c>
      <c r="H17" s="21">
        <f>F6</f>
        <v>3</v>
      </c>
    </row>
    <row r="18">
      <c r="B18" s="5" t="str">
        <f>B7</f>
        <v>T2</v>
      </c>
      <c r="C18" s="20">
        <f>D7*F7</f>
        <v>78</v>
      </c>
      <c r="D18" s="20">
        <f>C18*G7</f>
        <v>546</v>
      </c>
      <c r="E18" s="20">
        <f>D18*H7</f>
        <v>354.90000000000003</v>
      </c>
      <c r="F18" s="20">
        <f>MAX(0,E18-'01_Assumptions'!C25)</f>
        <v>0</v>
      </c>
      <c r="G18" s="20">
        <f>M7/D7</f>
        <v>11.633333333333333</v>
      </c>
      <c r="H18" s="21">
        <f>F7</f>
        <v>2.6</v>
      </c>
    </row>
    <row r="19">
      <c r="B19" s="5" t="str">
        <f>B8</f>
        <v>T3</v>
      </c>
      <c r="C19" s="20">
        <f>D8*F8</f>
        <v>132</v>
      </c>
      <c r="D19" s="20">
        <f>C19*G8</f>
        <v>1056</v>
      </c>
      <c r="E19" s="20">
        <f>D19*H8</f>
        <v>739.1999999999999</v>
      </c>
      <c r="F19" s="20">
        <f>MAX(0,E19-'01_Assumptions'!C25)</f>
        <v>0</v>
      </c>
      <c r="G19" s="20">
        <f>M8/D8</f>
        <v>7.483333333333333</v>
      </c>
      <c r="H19" s="21">
        <f>F8</f>
        <v>2.2</v>
      </c>
    </row>
    <row r="20">
      <c r="B20" s="5" t="str">
        <f>B9</f>
        <v>T4</v>
      </c>
      <c r="C20" s="20">
        <f>D9*F9</f>
        <v>228</v>
      </c>
      <c r="D20" s="20">
        <f>C20*G9</f>
        <v>1824</v>
      </c>
      <c r="E20" s="20">
        <f>D20*H9</f>
        <v>1313.28</v>
      </c>
      <c r="F20" s="20">
        <f>MAX(0,E20-'01_Assumptions'!C25)</f>
        <v>313.28</v>
      </c>
      <c r="G20" s="20">
        <f>M9/D9</f>
        <v>5.825</v>
      </c>
      <c r="H20" s="21">
        <f>F9</f>
        <v>1.9</v>
      </c>
    </row>
    <row r="21">
      <c r="B21" s="5" t="str">
        <f>B10</f>
        <v>T5</v>
      </c>
      <c r="C21" s="20">
        <f>D10*F10</f>
        <v>425</v>
      </c>
      <c r="D21" s="20">
        <f>C21*G10</f>
        <v>3825</v>
      </c>
      <c r="E21" s="20">
        <f>D21*H10</f>
        <v>2868.75</v>
      </c>
      <c r="F21" s="20">
        <f>MAX(0,E21-'01_Assumptions'!C25)</f>
        <v>1868.75</v>
      </c>
      <c r="G21" s="20">
        <f>M10/D10</f>
        <v>4.796</v>
      </c>
      <c r="H21" s="21">
        <f>F10</f>
        <v>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AB19"/>
  <sheetViews>
    <sheetView showGridLines="0" workbookViewId="0">
      <selection activeCell="A1" sqref="A1"/>
    </sheetView>
  </sheetViews>
  <sheetFormatPr baseColWidth="8" defaultRowHeight="15"/>
  <cols>
    <col width="3" customWidth="1" min="1" max="1"/>
    <col width="9" customWidth="1" min="2" max="2"/>
    <col width="18" customWidth="1" min="3" max="3"/>
    <col width="8" customWidth="1" min="4" max="4"/>
    <col width="11" customWidth="1" min="5" max="5"/>
    <col width="12" customWidth="1" min="6" max="6"/>
    <col width="12" customWidth="1" min="7" max="7"/>
    <col width="11" customWidth="1" min="8" max="8"/>
    <col width="11" customWidth="1" min="9" max="9"/>
    <col width="12" customWidth="1" min="10" max="10"/>
    <col width="11" customWidth="1" min="11" max="11"/>
    <col width="12" customWidth="1" min="12" max="12"/>
    <col width="12" customWidth="1" min="13" max="13"/>
    <col width="11" customWidth="1" min="14" max="14"/>
    <col width="11" customWidth="1" min="15" max="15"/>
    <col width="11" customWidth="1" min="16" max="16"/>
    <col width="10" customWidth="1" min="17" max="17"/>
    <col width="11" customWidth="1" min="18" max="18"/>
    <col width="11" customWidth="1" min="19" max="19"/>
    <col width="11" customWidth="1" min="20" max="20"/>
    <col width="12" customWidth="1" min="21" max="21"/>
    <col width="12" customWidth="1" min="22" max="22"/>
    <col width="12" customWidth="1" min="23" max="23"/>
    <col width="9" customWidth="1" min="24" max="24"/>
    <col width="11" customWidth="1" min="25" max="25"/>
    <col width="12" customWidth="1" min="26" max="26"/>
    <col width="11" customWidth="1" min="27" max="27"/>
    <col width="13" customWidth="1" min="28" max="28"/>
  </cols>
  <sheetData>
    <row r="2">
      <c r="B2" s="1" t="inlineStr">
        <is>
          <t>Unit economics per property — by size</t>
        </is>
      </c>
    </row>
    <row r="3">
      <c r="B3" s="2" t="inlineStr">
        <is>
          <t>Fully loaded: messaging + AI + infra + support labour + card fees. Gross margin is conservative by design.</t>
        </is>
      </c>
    </row>
    <row r="5" ht="64" customHeight="1">
      <c r="B5" s="15" t="inlineStr">
        <is>
          <t>Tier</t>
        </is>
      </c>
      <c r="C5" s="15" t="inlineStr">
        <is>
          <t>Segment</t>
        </is>
      </c>
      <c r="D5" s="15" t="inlineStr">
        <is>
          <t>Rooms</t>
        </is>
      </c>
      <c r="E5" s="15" t="inlineStr">
        <is>
          <t>Price $/mo</t>
        </is>
      </c>
      <c r="F5" s="15" t="inlineStr">
        <is>
          <t>Revenue $/yr</t>
        </is>
      </c>
      <c r="G5" s="15" t="inlineStr">
        <is>
          <t>Conversations / mo</t>
        </is>
      </c>
      <c r="H5" s="15" t="inlineStr">
        <is>
          <t>WhatsApp cost / mo</t>
        </is>
      </c>
      <c r="I5" s="15" t="inlineStr">
        <is>
          <t>LLM + aux / mo</t>
        </is>
      </c>
      <c r="J5" s="15" t="inlineStr">
        <is>
          <t>Infra alloc / mo</t>
        </is>
      </c>
      <c r="K5" s="15" t="inlineStr">
        <is>
          <t>Support labour / mo</t>
        </is>
      </c>
      <c r="L5" s="15" t="inlineStr">
        <is>
          <t>Card fees / mo</t>
        </is>
      </c>
      <c r="M5" s="15" t="inlineStr">
        <is>
          <t>Total COGS / mo</t>
        </is>
      </c>
      <c r="N5" s="15" t="inlineStr">
        <is>
          <t>Gross profit / mo</t>
        </is>
      </c>
      <c r="O5" s="15" t="inlineStr">
        <is>
          <t>Gross margin</t>
        </is>
      </c>
      <c r="P5" s="15" t="inlineStr">
        <is>
          <t>COGS $ /property</t>
        </is>
      </c>
      <c r="Q5" s="15" t="inlineStr">
        <is>
          <t>GP / room / mo</t>
        </is>
      </c>
      <c r="R5" s="15" t="inlineStr">
        <is>
          <t>Price / room / mo</t>
        </is>
      </c>
      <c r="S5" s="15" t="inlineStr">
        <is>
          <t>Support hrs / mo</t>
        </is>
      </c>
      <c r="T5" s="15" t="inlineStr">
        <is>
          <t>GP per support hour</t>
        </is>
      </c>
      <c r="U5" s="15" t="inlineStr">
        <is>
          <t>Onboarding cost</t>
        </is>
      </c>
      <c r="V5" s="15" t="inlineStr">
        <is>
          <t>Setup fee revenue</t>
        </is>
      </c>
      <c r="W5" s="15" t="inlineStr">
        <is>
          <t>Onboarding margin</t>
        </is>
      </c>
      <c r="X5" s="15" t="inlineStr">
        <is>
          <t>CAC</t>
        </is>
      </c>
      <c r="Y5" s="15" t="inlineStr">
        <is>
          <t>Payback (months)</t>
        </is>
      </c>
      <c r="Z5" s="15" t="inlineStr">
        <is>
          <t>LTV (churn-based)</t>
        </is>
      </c>
      <c r="AA5" s="15" t="inlineStr">
        <is>
          <t>LTV / CAC</t>
        </is>
      </c>
      <c r="AB5" s="15" t="inlineStr">
        <is>
          <t>Annual gross profit</t>
        </is>
      </c>
    </row>
    <row r="6">
      <c r="B6" s="3" t="str">
        <f>'02_Property_Sizes'!B6</f>
        <v>T1</v>
      </c>
      <c r="C6" s="5" t="str">
        <f>'02_Property_Sizes'!C6</f>
        <v>Boutique / casita</v>
      </c>
      <c r="D6" s="22">
        <f>'02_Property_Sizes'!D6</f>
        <v>15</v>
      </c>
      <c r="E6" s="22">
        <f>'02_Property_Sizes'!M6</f>
        <v>299</v>
      </c>
      <c r="F6" s="22">
        <f>E6*12</f>
        <v>3588</v>
      </c>
      <c r="G6" s="20">
        <f>'02_Property_Sizes'!C17</f>
        <v>45</v>
      </c>
      <c r="H6" s="20">
        <f>'02_Property_Sizes'!F17*'02_Property_Sizes'!O6*(1+'01_Assumptions'!C24)</f>
        <v>0</v>
      </c>
      <c r="I6" s="20">
        <f>G6*'01_Assumptions'!C19/1000000*'01_Assumptions'!C17+G6*'01_Assumptions'!C20/1000000*'01_Assumptions'!C18+G6*'01_Assumptions'!C21</f>
        <v>0.18675000000000003</v>
      </c>
      <c r="J6" s="20">
        <f>'01_Assumptions'!C12/'01_Assumptions'!C13+'01_Assumptions'!C14</f>
        <v>11.9</v>
      </c>
      <c r="K6" s="20">
        <f>'02_Property_Sizes'!K6*'01_Assumptions'!C6</f>
        <v>28.8</v>
      </c>
      <c r="L6" s="20">
        <f>E6*'01_Assumptions'!C9</f>
        <v>8.671000000000001</v>
      </c>
      <c r="M6" s="20">
        <f>SUM(H6:L6)</f>
        <v>49.55775</v>
      </c>
      <c r="N6" s="20">
        <f>E6-M6</f>
        <v>249.44225</v>
      </c>
      <c r="O6" s="23">
        <f>N6/E6</f>
        <v>0.834255016722408</v>
      </c>
      <c r="P6" s="20">
        <f>M6</f>
        <v>49.55775</v>
      </c>
      <c r="Q6" s="20">
        <f>N6/D6</f>
        <v>16.629483333333333</v>
      </c>
      <c r="R6" s="20">
        <f>E6/D6</f>
        <v>19.933333333333334</v>
      </c>
      <c r="S6" s="21">
        <f>'02_Property_Sizes'!K6</f>
        <v>0.9</v>
      </c>
      <c r="T6" s="20">
        <f>N6/S6</f>
        <v>277.15805555555556</v>
      </c>
      <c r="U6" s="20">
        <f>'02_Property_Sizes'!L6*'01_Assumptions'!C7</f>
        <v>80</v>
      </c>
      <c r="V6" s="20">
        <f>'02_Property_Sizes'!N6</f>
        <v>500</v>
      </c>
      <c r="W6" s="20">
        <f>V6-U6</f>
        <v>420</v>
      </c>
      <c r="X6" s="22">
        <f>'01_Assumptions'!C33</f>
        <v>900</v>
      </c>
      <c r="Y6" s="21">
        <f>X6/(E6*O6)</f>
        <v>3.6080495585651593</v>
      </c>
      <c r="Z6" s="22">
        <f>N6/'01_Assumptions'!C31</f>
        <v>9977.689999999999</v>
      </c>
      <c r="AA6" s="24">
        <f>Z6/X6</f>
        <v>11.08632222222222</v>
      </c>
      <c r="AB6" s="22">
        <f>N6*12</f>
        <v>2993.307</v>
      </c>
    </row>
    <row r="7">
      <c r="B7" s="3" t="str">
        <f>'02_Property_Sizes'!B7</f>
        <v>T2</v>
      </c>
      <c r="C7" s="5" t="str">
        <f>'02_Property_Sizes'!C7</f>
        <v>Boutique luxury</v>
      </c>
      <c r="D7" s="22">
        <f>'02_Property_Sizes'!D7</f>
        <v>30</v>
      </c>
      <c r="E7" s="22">
        <f>'02_Property_Sizes'!M7</f>
        <v>349</v>
      </c>
      <c r="F7" s="22">
        <f>E7*12</f>
        <v>4188</v>
      </c>
      <c r="G7" s="20">
        <f>'02_Property_Sizes'!C18</f>
        <v>78</v>
      </c>
      <c r="H7" s="20">
        <f>'02_Property_Sizes'!F18*'02_Property_Sizes'!O7*(1+'01_Assumptions'!C24)</f>
        <v>0</v>
      </c>
      <c r="I7" s="20">
        <f>G7*'01_Assumptions'!C19/1000000*'01_Assumptions'!C17+G7*'01_Assumptions'!C20/1000000*'01_Assumptions'!C18+G7*'01_Assumptions'!C21</f>
        <v>0.3237</v>
      </c>
      <c r="J7" s="20">
        <f>'01_Assumptions'!C12/'01_Assumptions'!C13+'01_Assumptions'!C14</f>
        <v>11.9</v>
      </c>
      <c r="K7" s="20">
        <f>'02_Property_Sizes'!K7*'01_Assumptions'!C6</f>
        <v>35.2</v>
      </c>
      <c r="L7" s="20">
        <f>E7*'01_Assumptions'!C9</f>
        <v>10.121</v>
      </c>
      <c r="M7" s="20">
        <f>SUM(H7:L7)</f>
        <v>57.544700000000006</v>
      </c>
      <c r="N7" s="20">
        <f>E7-M7</f>
        <v>291.45529999999997</v>
      </c>
      <c r="O7" s="23">
        <f>N7/E7</f>
        <v>0.8351154727793695</v>
      </c>
      <c r="P7" s="20">
        <f>M7</f>
        <v>57.544700000000006</v>
      </c>
      <c r="Q7" s="20">
        <f>N7/D7</f>
        <v>9.715176666666666</v>
      </c>
      <c r="R7" s="20">
        <f>E7/D7</f>
        <v>11.633333333333333</v>
      </c>
      <c r="S7" s="21">
        <f>'02_Property_Sizes'!K7</f>
        <v>1.1</v>
      </c>
      <c r="T7" s="20">
        <f>N7/S7</f>
        <v>264.9593636363636</v>
      </c>
      <c r="U7" s="20">
        <f>'02_Property_Sizes'!L7*'01_Assumptions'!C7</f>
        <v>96</v>
      </c>
      <c r="V7" s="20">
        <f>'02_Property_Sizes'!N7</f>
        <v>500</v>
      </c>
      <c r="W7" s="20">
        <f>V7-U7</f>
        <v>404</v>
      </c>
      <c r="X7" s="22">
        <f>'01_Assumptions'!C33</f>
        <v>900</v>
      </c>
      <c r="Y7" s="21">
        <f>X7/(E7*O7)</f>
        <v>3.087952080473404</v>
      </c>
      <c r="Z7" s="22">
        <f>N7/'01_Assumptions'!C31</f>
        <v>11658.211999999998</v>
      </c>
      <c r="AA7" s="24">
        <f>Z7/X7</f>
        <v>12.953568888888887</v>
      </c>
      <c r="AB7" s="22">
        <f>N7*12</f>
        <v>3497.4635999999996</v>
      </c>
    </row>
    <row r="8">
      <c r="B8" s="3" t="str">
        <f>'02_Property_Sizes'!B8</f>
        <v>T3</v>
      </c>
      <c r="C8" s="5" t="str">
        <f>'02_Property_Sizes'!C8</f>
        <v>Luxury city hotel</v>
      </c>
      <c r="D8" s="22">
        <f>'02_Property_Sizes'!D8</f>
        <v>60</v>
      </c>
      <c r="E8" s="22">
        <f>'02_Property_Sizes'!M8</f>
        <v>449</v>
      </c>
      <c r="F8" s="22">
        <f>E8*12</f>
        <v>5388</v>
      </c>
      <c r="G8" s="20">
        <f>'02_Property_Sizes'!C19</f>
        <v>132</v>
      </c>
      <c r="H8" s="20">
        <f>'02_Property_Sizes'!F19*'02_Property_Sizes'!O8*(1+'01_Assumptions'!C24)</f>
        <v>0</v>
      </c>
      <c r="I8" s="20">
        <f>G8*'01_Assumptions'!C19/1000000*'01_Assumptions'!C17+G8*'01_Assumptions'!C20/1000000*'01_Assumptions'!C18+G8*'01_Assumptions'!C21</f>
        <v>0.5478000000000001</v>
      </c>
      <c r="J8" s="20">
        <f>'01_Assumptions'!C12/'01_Assumptions'!C13+'01_Assumptions'!C14</f>
        <v>11.9</v>
      </c>
      <c r="K8" s="20">
        <f>'02_Property_Sizes'!K8*'01_Assumptions'!C6</f>
        <v>44.8</v>
      </c>
      <c r="L8" s="20">
        <f>E8*'01_Assumptions'!C9</f>
        <v>13.021</v>
      </c>
      <c r="M8" s="20">
        <f>SUM(H8:L8)</f>
        <v>70.2688</v>
      </c>
      <c r="N8" s="20">
        <f>E8-M8</f>
        <v>378.7312</v>
      </c>
      <c r="O8" s="23">
        <f>N8/E8</f>
        <v>0.8434993318485523</v>
      </c>
      <c r="P8" s="20">
        <f>M8</f>
        <v>70.2688</v>
      </c>
      <c r="Q8" s="20">
        <f>N8/D8</f>
        <v>6.312186666666666</v>
      </c>
      <c r="R8" s="20">
        <f>E8/D8</f>
        <v>7.483333333333333</v>
      </c>
      <c r="S8" s="21">
        <f>'02_Property_Sizes'!K8</f>
        <v>1.4</v>
      </c>
      <c r="T8" s="20">
        <f>N8/S8</f>
        <v>270.5222857142857</v>
      </c>
      <c r="U8" s="20">
        <f>'02_Property_Sizes'!L8*'01_Assumptions'!C7</f>
        <v>128</v>
      </c>
      <c r="V8" s="20">
        <f>'02_Property_Sizes'!N8</f>
        <v>500</v>
      </c>
      <c r="W8" s="20">
        <f>V8-U8</f>
        <v>372</v>
      </c>
      <c r="X8" s="22">
        <f>'01_Assumptions'!C33</f>
        <v>900</v>
      </c>
      <c r="Y8" s="21">
        <f>X8/(E8*O8)</f>
        <v>2.376355578837973</v>
      </c>
      <c r="Z8" s="22">
        <f>N8/'01_Assumptions'!C31</f>
        <v>15149.248</v>
      </c>
      <c r="AA8" s="24">
        <f>Z8/X8</f>
        <v>16.83249777777778</v>
      </c>
      <c r="AB8" s="22">
        <f>N8*12</f>
        <v>4544.7744</v>
      </c>
    </row>
    <row r="9">
      <c r="B9" s="3" t="str">
        <f>'02_Property_Sizes'!B9</f>
        <v>T4</v>
      </c>
      <c r="C9" s="5" t="str">
        <f>'02_Property_Sizes'!C9</f>
        <v>Resort</v>
      </c>
      <c r="D9" s="22">
        <f>'02_Property_Sizes'!D9</f>
        <v>120</v>
      </c>
      <c r="E9" s="22">
        <f>'02_Property_Sizes'!M9</f>
        <v>699</v>
      </c>
      <c r="F9" s="22">
        <f>E9*12</f>
        <v>8388</v>
      </c>
      <c r="G9" s="20">
        <f>'02_Property_Sizes'!C20</f>
        <v>228</v>
      </c>
      <c r="H9" s="20">
        <f>'02_Property_Sizes'!F20*'02_Property_Sizes'!O9*(1+'01_Assumptions'!C24)</f>
        <v>3.1954559999999996</v>
      </c>
      <c r="I9" s="20">
        <f>G9*'01_Assumptions'!C19/1000000*'01_Assumptions'!C17+G9*'01_Assumptions'!C20/1000000*'01_Assumptions'!C18+G9*'01_Assumptions'!C21</f>
        <v>0.9462</v>
      </c>
      <c r="J9" s="20">
        <f>'01_Assumptions'!C12/'01_Assumptions'!C13+'01_Assumptions'!C14</f>
        <v>11.9</v>
      </c>
      <c r="K9" s="20">
        <f>'02_Property_Sizes'!K9*'01_Assumptions'!C6</f>
        <v>60.8</v>
      </c>
      <c r="L9" s="20">
        <f>E9*'01_Assumptions'!C9</f>
        <v>20.271</v>
      </c>
      <c r="M9" s="20">
        <f>SUM(H9:L9)</f>
        <v>97.112656</v>
      </c>
      <c r="N9" s="20">
        <f>E9-M9</f>
        <v>601.887344</v>
      </c>
      <c r="O9" s="23">
        <f>N9/E9</f>
        <v>0.8610691616595135</v>
      </c>
      <c r="P9" s="20">
        <f>M9</f>
        <v>97.112656</v>
      </c>
      <c r="Q9" s="20">
        <f>N9/D9</f>
        <v>5.0157278666666665</v>
      </c>
      <c r="R9" s="20">
        <f>E9/D9</f>
        <v>5.825</v>
      </c>
      <c r="S9" s="21">
        <f>'02_Property_Sizes'!K9</f>
        <v>1.9</v>
      </c>
      <c r="T9" s="20">
        <f>N9/S9</f>
        <v>316.78281263157896</v>
      </c>
      <c r="U9" s="20">
        <f>'02_Property_Sizes'!L9*'01_Assumptions'!C7</f>
        <v>176</v>
      </c>
      <c r="V9" s="20">
        <f>'02_Property_Sizes'!N9</f>
        <v>750</v>
      </c>
      <c r="W9" s="20">
        <f>V9-U9</f>
        <v>574</v>
      </c>
      <c r="X9" s="22">
        <f>'01_Assumptions'!C33</f>
        <v>900</v>
      </c>
      <c r="Y9" s="21">
        <f>X9/(E9*O9)</f>
        <v>1.4952964354073544</v>
      </c>
      <c r="Z9" s="22">
        <f>N9/'01_Assumptions'!C31</f>
        <v>24075.493759999998</v>
      </c>
      <c r="AA9" s="24">
        <f>Z9/X9</f>
        <v>26.75054862222222</v>
      </c>
      <c r="AB9" s="22">
        <f>N9*12</f>
        <v>7222.648128</v>
      </c>
    </row>
    <row r="10">
      <c r="B10" s="3" t="str">
        <f>'02_Property_Sizes'!B10</f>
        <v>T5</v>
      </c>
      <c r="C10" s="5" t="str">
        <f>'02_Property_Sizes'!C10</f>
        <v>Large resort / flagship</v>
      </c>
      <c r="D10" s="22">
        <f>'02_Property_Sizes'!D10</f>
        <v>250</v>
      </c>
      <c r="E10" s="22">
        <f>'02_Property_Sizes'!M10</f>
        <v>1199</v>
      </c>
      <c r="F10" s="22">
        <f>E10*12</f>
        <v>14388</v>
      </c>
      <c r="G10" s="20">
        <f>'02_Property_Sizes'!C21</f>
        <v>425</v>
      </c>
      <c r="H10" s="20">
        <f>'02_Property_Sizes'!F21*'02_Property_Sizes'!O10*(1+'01_Assumptions'!C24)</f>
        <v>19.06125</v>
      </c>
      <c r="I10" s="20">
        <f>G10*'01_Assumptions'!C19/1000000*'01_Assumptions'!C17+G10*'01_Assumptions'!C20/1000000*'01_Assumptions'!C18+G10*'01_Assumptions'!C21</f>
        <v>1.76375</v>
      </c>
      <c r="J10" s="20">
        <f>'01_Assumptions'!C12/'01_Assumptions'!C13+'01_Assumptions'!C14</f>
        <v>11.9</v>
      </c>
      <c r="K10" s="20">
        <f>'02_Property_Sizes'!K10*'01_Assumptions'!C6</f>
        <v>89.6</v>
      </c>
      <c r="L10" s="20">
        <f>E10*'01_Assumptions'!C9</f>
        <v>34.771</v>
      </c>
      <c r="M10" s="20">
        <f>SUM(H10:L10)</f>
        <v>157.096</v>
      </c>
      <c r="N10" s="20">
        <f>E10-M10</f>
        <v>1041.904</v>
      </c>
      <c r="O10" s="23">
        <f>N10/E10</f>
        <v>0.8689774812343619</v>
      </c>
      <c r="P10" s="20">
        <f>M10</f>
        <v>157.096</v>
      </c>
      <c r="Q10" s="20">
        <f>N10/D10</f>
        <v>4.167616</v>
      </c>
      <c r="R10" s="20">
        <f>E10/D10</f>
        <v>4.796</v>
      </c>
      <c r="S10" s="21">
        <f>'02_Property_Sizes'!K10</f>
        <v>2.8</v>
      </c>
      <c r="T10" s="20">
        <f>N10/S10</f>
        <v>372.10857142857145</v>
      </c>
      <c r="U10" s="20">
        <f>'02_Property_Sizes'!L10*'01_Assumptions'!C7</f>
        <v>240</v>
      </c>
      <c r="V10" s="20">
        <f>'02_Property_Sizes'!N10</f>
        <v>1000</v>
      </c>
      <c r="W10" s="20">
        <f>V10-U10</f>
        <v>760</v>
      </c>
      <c r="X10" s="22">
        <f>'01_Assumptions'!C33</f>
        <v>900</v>
      </c>
      <c r="Y10" s="21">
        <f>X10/(E10*O10)</f>
        <v>0.8638031910809442</v>
      </c>
      <c r="Z10" s="22">
        <f>N10/'01_Assumptions'!C31</f>
        <v>41676.159999999996</v>
      </c>
      <c r="AA10" s="24">
        <f>Z10/X10</f>
        <v>46.30684444444444</v>
      </c>
      <c r="AB10" s="22">
        <f>N10*12</f>
        <v>12502.848</v>
      </c>
    </row>
    <row r="12">
      <c r="B12" s="25" t="inlineStr">
        <is>
          <t>Blended</t>
        </is>
      </c>
      <c r="C12" s="26" t="inlineStr">
        <is>
          <t>Portfolio mix</t>
        </is>
      </c>
      <c r="D12" s="27">
        <f>SUMPRODUCT('02_Property_Sizes'!$P$6:$P$10,'02_Property_Sizes'!$D$6:$D$10)</f>
        <v>53.9</v>
      </c>
      <c r="E12" s="27">
        <f>'01_Assumptions'!C41</f>
        <v>439.49999999999994</v>
      </c>
      <c r="F12" s="27">
        <f>E12*12</f>
        <v>5273.999999999999</v>
      </c>
      <c r="G12" s="28">
        <f>SUMPRODUCT('02_Property_Sizes'!$P$6:$P$10,'02_Property_Sizes'!$C$17:$C$21)</f>
        <v>116.17</v>
      </c>
      <c r="H12" s="28">
        <f>SUMPRODUCT('02_Property_Sizes'!$P$6:$P$10,H6:H10)</f>
        <v>1.2726081000000002</v>
      </c>
      <c r="I12" s="28">
        <f>SUMPRODUCT('02_Property_Sizes'!$P$6:$P$10,I6:I10)</f>
        <v>0.4821055000000001</v>
      </c>
      <c r="J12" s="28">
        <f>SUMPRODUCT('02_Property_Sizes'!$P$6:$P$10,J6:J10)</f>
        <v>11.9</v>
      </c>
      <c r="K12" s="28">
        <f>SUMPRODUCT('02_Property_Sizes'!$P$6:$P$10,K6:K10)</f>
        <v>41.407999999999994</v>
      </c>
      <c r="L12" s="28">
        <f>SUMPRODUCT('02_Property_Sizes'!$P$6:$P$10,L6:L10)</f>
        <v>12.745500000000002</v>
      </c>
      <c r="M12" s="28">
        <f>SUM(H12:L12)</f>
        <v>67.8082136</v>
      </c>
      <c r="N12" s="28">
        <f>E12-M12</f>
        <v>371.69178639999996</v>
      </c>
      <c r="O12" s="6">
        <f>N12/E12</f>
        <v>0.8457150998862344</v>
      </c>
      <c r="P12" s="28">
        <f>M12</f>
        <v>67.8082136</v>
      </c>
      <c r="Q12" s="28">
        <f>N12/D12</f>
        <v>6.895951510204081</v>
      </c>
      <c r="R12" s="28">
        <f>E12/D12</f>
        <v>8.153988868274581</v>
      </c>
      <c r="S12" s="29">
        <f>SUMPRODUCT('02_Property_Sizes'!$P$6:$P$10,S6:S10)</f>
        <v>1.2939999999999998</v>
      </c>
      <c r="T12" s="28">
        <f>N12/S12</f>
        <v>287.24249335394126</v>
      </c>
      <c r="U12" s="28">
        <f>SUMPRODUCT('02_Property_Sizes'!$P$6:$P$10,U6:U10)</f>
        <v>115.36000000000001</v>
      </c>
      <c r="V12" s="28">
        <f>SUMPRODUCT('02_Property_Sizes'!$P$6:$P$10,V6:V10)</f>
        <v>550</v>
      </c>
      <c r="W12" s="28">
        <f>V12-U12</f>
        <v>434.64</v>
      </c>
      <c r="X12" s="27">
        <f>'01_Assumptions'!C33</f>
        <v>900</v>
      </c>
      <c r="Y12" s="29">
        <f>X12/(E12*O12)</f>
        <v>2.4213610118127704</v>
      </c>
      <c r="Z12" s="27">
        <f>N12/'01_Assumptions'!C31</f>
        <v>14867.671455999998</v>
      </c>
      <c r="AA12" s="8">
        <f>Z12/X12</f>
        <v>16.519634951111108</v>
      </c>
      <c r="AB12" s="27">
        <f>N12*12</f>
        <v>4460.3014367999995</v>
      </c>
    </row>
    <row r="14">
      <c r="B14" s="3" t="inlineStr">
        <is>
          <t>Read-across</t>
        </is>
      </c>
    </row>
    <row r="15" ht="26" customHeight="1">
      <c r="B15" s="4" t="inlineStr">
        <is>
          <t>•  Gross margin climbs with size: fixed support and infra are spread over more rooms, and the price-per-room taper is gentler than the fall in cost per room.</t>
        </is>
      </c>
    </row>
    <row r="16" ht="26" customHeight="1">
      <c r="B16" s="4" t="inlineStr">
        <is>
          <t>•  Messaging is not the margin threat at MVP volumes. Even at ~1,500 WhatsApp messages/month the fee is single-digit dollars in Mexico and the US; it only bites above ~2,500 messages/month in high-rate markets (Germany, UK, Spain).</t>
        </is>
      </c>
    </row>
    <row r="17" ht="26" customHeight="1">
      <c r="B17" s="4" t="inlineStr">
        <is>
          <t>•  Onboarding labour is the real cost centre. At T5 the setup fee barely covers the knowledge work — do not waive it above T3.</t>
        </is>
      </c>
    </row>
    <row r="18" ht="26" customHeight="1">
      <c r="B18" s="4" t="inlineStr">
        <is>
          <t>•  Payback under four months at every size means growth is self-funding from month one. The binding constraints are founder selling time and support hours, not capital.</t>
        </is>
      </c>
    </row>
    <row r="19" ht="26" customHeight="1">
      <c r="B19" s="4" t="inlineStr">
        <is>
          <t>•  LTV uses a churn-based multiple and includes support labour in COGS, so it sits closer to reality than a revenue-multiple LTV.</t>
        </is>
      </c>
    </row>
  </sheetData>
  <mergeCells count="5">
    <mergeCell ref="B17:R17"/>
    <mergeCell ref="B18:R18"/>
    <mergeCell ref="B15:R15"/>
    <mergeCell ref="B16:R16"/>
    <mergeCell ref="B19:R19"/>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I34"/>
  <sheetViews>
    <sheetView showGridLines="0" workbookViewId="0">
      <selection activeCell="A1" sqref="A1"/>
    </sheetView>
  </sheetViews>
  <sheetFormatPr baseColWidth="8" defaultRowHeight="15"/>
  <cols>
    <col width="3" customWidth="1" min="1" max="1"/>
    <col width="36" customWidth="1" min="2" max="2"/>
    <col width="16" customWidth="1" min="3" max="3"/>
    <col width="16" customWidth="1" min="4" max="4"/>
    <col width="16" customWidth="1" min="5" max="5"/>
    <col width="30" customWidth="1" min="6" max="6"/>
    <col width="14" customWidth="1" min="7" max="7"/>
    <col width="14" customWidth="1" min="8" max="8"/>
    <col width="14" customWidth="1" min="9" max="9"/>
  </cols>
  <sheetData>
    <row r="2">
      <c r="B2" s="1" t="inlineStr">
        <is>
          <t>WhatsApp cost by market (Meta pricing, effective 1 Oct 2026)</t>
        </is>
      </c>
    </row>
    <row r="3">
      <c r="B3" s="2" t="inlineStr">
        <is>
          <t>Service messages — free-form replies inside the 24h window — became billable on 1 Oct 2026, after 1,000 free per number per month.</t>
        </is>
      </c>
    </row>
    <row r="5" ht="32" customHeight="1">
      <c r="B5" s="15" t="inlineStr">
        <is>
          <t>Market</t>
        </is>
      </c>
      <c r="C5" s="15" t="inlineStr">
        <is>
          <t>Marketing $/msg</t>
        </is>
      </c>
      <c r="D5" s="15" t="inlineStr">
        <is>
          <t>Utility $/msg</t>
        </is>
      </c>
      <c r="E5" s="15" t="inlineStr">
        <is>
          <t>Service $/msg</t>
        </is>
      </c>
      <c r="F5" s="15" t="inlineStr">
        <is>
          <t>Note</t>
        </is>
      </c>
    </row>
    <row r="6">
      <c r="B6" s="5" t="inlineStr">
        <is>
          <t>Mexico</t>
        </is>
      </c>
      <c r="C6" s="30" t="n">
        <v>0.0397</v>
      </c>
      <c r="D6" s="30" t="n">
        <v>0.008500000000000001</v>
      </c>
      <c r="E6" s="30" t="n">
        <v>0.008500000000000001</v>
      </c>
      <c r="F6" s="2" t="inlineStr">
        <is>
          <t>Primary market; low service rate</t>
        </is>
      </c>
    </row>
    <row r="7">
      <c r="B7" s="5" t="inlineStr">
        <is>
          <t>United States</t>
        </is>
      </c>
      <c r="C7" s="30" t="n">
        <v>0.025</v>
      </c>
      <c r="D7" s="30" t="n">
        <v>0.0034</v>
      </c>
      <c r="E7" s="30" t="n">
        <v>0.0034</v>
      </c>
      <c r="F7" s="2" t="inlineStr">
        <is>
          <t>Inbound guests; very low</t>
        </is>
      </c>
    </row>
    <row r="8">
      <c r="B8" s="5" t="inlineStr">
        <is>
          <t>Spain</t>
        </is>
      </c>
      <c r="C8" s="30" t="n">
        <v>0.0707</v>
      </c>
      <c r="D8" s="30" t="n">
        <v>0.02</v>
      </c>
      <c r="E8" s="30" t="n">
        <v>0.02</v>
      </c>
      <c r="F8" s="2" t="inlineStr">
        <is>
          <t>2.4x Mexico</t>
        </is>
      </c>
    </row>
    <row r="9">
      <c r="B9" s="5" t="inlineStr">
        <is>
          <t>United Kingdom</t>
        </is>
      </c>
      <c r="C9" s="30" t="n">
        <v>0.0635</v>
      </c>
      <c r="D9" s="30" t="n">
        <v>0.022</v>
      </c>
      <c r="E9" s="30" t="n">
        <v>0.022</v>
      </c>
      <c r="F9" s="2" t="inlineStr">
        <is>
          <t>2.6x Mexico</t>
        </is>
      </c>
    </row>
    <row r="10">
      <c r="B10" s="5" t="inlineStr">
        <is>
          <t>Germany</t>
        </is>
      </c>
      <c r="C10" s="30" t="n">
        <v>0.1365</v>
      </c>
      <c r="D10" s="30" t="n">
        <v>0.055</v>
      </c>
      <c r="E10" s="30" t="n">
        <v>0.055</v>
      </c>
      <c r="F10" s="2" t="inlineStr">
        <is>
          <t>6.5x Mexico — worst case</t>
        </is>
      </c>
    </row>
    <row r="11">
      <c r="B11" s="5" t="inlineStr">
        <is>
          <t>Brazil</t>
        </is>
      </c>
      <c r="C11" s="30" t="n">
        <v>0.0625</v>
      </c>
      <c r="D11" s="30" t="n">
        <v>0.0068</v>
      </c>
      <c r="E11" s="30" t="n">
        <v>0.0068</v>
      </c>
      <c r="F11" s="2" t="inlineStr">
        <is>
          <t>Low service rate</t>
        </is>
      </c>
    </row>
    <row r="12">
      <c r="B12" s="5" t="inlineStr">
        <is>
          <t>India</t>
        </is>
      </c>
      <c r="C12" s="30" t="n">
        <v>0.0118</v>
      </c>
      <c r="D12" s="30" t="n">
        <v>0.0014</v>
      </c>
      <c r="E12" s="30" t="n">
        <v>0.0014</v>
      </c>
      <c r="F12" s="2" t="inlineStr">
        <is>
          <t>Lowest</t>
        </is>
      </c>
    </row>
    <row r="15">
      <c r="B15" s="3" t="inlineStr">
        <is>
          <t>Service-message cost per property per month (after 1,000 free), by size × market</t>
        </is>
      </c>
    </row>
    <row r="16">
      <c r="B16" s="2" t="inlineStr">
        <is>
          <t>Includes the 20% BSP markup from 01_Assumptions.</t>
        </is>
      </c>
    </row>
    <row r="17" ht="40" customHeight="1">
      <c r="B17" s="15" t="inlineStr">
        <is>
          <t>Size</t>
        </is>
      </c>
      <c r="C17" s="15" t="inlineStr">
        <is>
          <t>Mexico</t>
        </is>
      </c>
      <c r="D17" s="15" t="inlineStr">
        <is>
          <t>United States</t>
        </is>
      </c>
      <c r="E17" s="15" t="inlineStr">
        <is>
          <t>Spain</t>
        </is>
      </c>
      <c r="F17" s="15" t="inlineStr">
        <is>
          <t>United Kingdom</t>
        </is>
      </c>
      <c r="G17" s="15" t="inlineStr">
        <is>
          <t>Germany</t>
        </is>
      </c>
      <c r="H17" s="15" t="inlineStr">
        <is>
          <t>Brazil</t>
        </is>
      </c>
      <c r="I17" s="15" t="inlineStr">
        <is>
          <t>India</t>
        </is>
      </c>
    </row>
    <row r="18">
      <c r="B18" s="5" t="str">
        <f>'02_Property_Sizes'!B17</f>
        <v>T1</v>
      </c>
      <c r="C18" s="20">
        <f>MAX(0,'02_Property_Sizes'!E17-'01_Assumptions'!C25)*C6*(1+'01_Assumptions'!C24)</f>
        <v>0</v>
      </c>
      <c r="D18" s="20">
        <f>MAX(0,'02_Property_Sizes'!E17-'01_Assumptions'!C25)*D7*(1+'01_Assumptions'!C24)</f>
        <v>0</v>
      </c>
      <c r="E18" s="20">
        <f>MAX(0,'02_Property_Sizes'!E17-'01_Assumptions'!C25)*E8*(1+'01_Assumptions'!C24)</f>
        <v>0</v>
      </c>
      <c r="F18" s="20" t="str">
        <f>MAX(0,'02_Property_Sizes'!E17-'01_Assumptions'!C25)*F9*(1+'01_Assumptions'!C24)</f>
        <v>#VALUE!</v>
      </c>
      <c r="G18" s="20">
        <f>MAX(0,'02_Property_Sizes'!E17-'01_Assumptions'!C25)*G10*(1+'01_Assumptions'!C24)</f>
        <v>0</v>
      </c>
      <c r="H18" s="20">
        <f>MAX(0,'02_Property_Sizes'!E17-'01_Assumptions'!C25)*H11*(1+'01_Assumptions'!C24)</f>
        <v>0</v>
      </c>
      <c r="I18" s="20">
        <f>MAX(0,'02_Property_Sizes'!E17-'01_Assumptions'!C25)*I12*(1+'01_Assumptions'!C24)</f>
        <v>0</v>
      </c>
    </row>
    <row r="19">
      <c r="B19" s="5" t="str">
        <f>'02_Property_Sizes'!B18</f>
        <v>T2</v>
      </c>
      <c r="C19" s="20">
        <f>MAX(0,'02_Property_Sizes'!E18-'01_Assumptions'!C25)*C6*(1+'01_Assumptions'!C24)</f>
        <v>0</v>
      </c>
      <c r="D19" s="20">
        <f>MAX(0,'02_Property_Sizes'!E18-'01_Assumptions'!C25)*D7*(1+'01_Assumptions'!C24)</f>
        <v>0</v>
      </c>
      <c r="E19" s="20">
        <f>MAX(0,'02_Property_Sizes'!E18-'01_Assumptions'!C25)*E8*(1+'01_Assumptions'!C24)</f>
        <v>0</v>
      </c>
      <c r="F19" s="20" t="str">
        <f>MAX(0,'02_Property_Sizes'!E18-'01_Assumptions'!C25)*F9*(1+'01_Assumptions'!C24)</f>
        <v>#VALUE!</v>
      </c>
      <c r="G19" s="20">
        <f>MAX(0,'02_Property_Sizes'!E18-'01_Assumptions'!C25)*G10*(1+'01_Assumptions'!C24)</f>
        <v>0</v>
      </c>
      <c r="H19" s="20">
        <f>MAX(0,'02_Property_Sizes'!E18-'01_Assumptions'!C25)*H11*(1+'01_Assumptions'!C24)</f>
        <v>0</v>
      </c>
      <c r="I19" s="20">
        <f>MAX(0,'02_Property_Sizes'!E18-'01_Assumptions'!C25)*I12*(1+'01_Assumptions'!C24)</f>
        <v>0</v>
      </c>
    </row>
    <row r="20">
      <c r="B20" s="5" t="str">
        <f>'02_Property_Sizes'!B19</f>
        <v>T3</v>
      </c>
      <c r="C20" s="20">
        <f>MAX(0,'02_Property_Sizes'!E19-'01_Assumptions'!C25)*C6*(1+'01_Assumptions'!C24)</f>
        <v>0</v>
      </c>
      <c r="D20" s="20">
        <f>MAX(0,'02_Property_Sizes'!E19-'01_Assumptions'!C25)*D7*(1+'01_Assumptions'!C24)</f>
        <v>0</v>
      </c>
      <c r="E20" s="20">
        <f>MAX(0,'02_Property_Sizes'!E19-'01_Assumptions'!C25)*E8*(1+'01_Assumptions'!C24)</f>
        <v>0</v>
      </c>
      <c r="F20" s="20" t="str">
        <f>MAX(0,'02_Property_Sizes'!E19-'01_Assumptions'!C25)*F9*(1+'01_Assumptions'!C24)</f>
        <v>#VALUE!</v>
      </c>
      <c r="G20" s="20">
        <f>MAX(0,'02_Property_Sizes'!E19-'01_Assumptions'!C25)*G10*(1+'01_Assumptions'!C24)</f>
        <v>0</v>
      </c>
      <c r="H20" s="20">
        <f>MAX(0,'02_Property_Sizes'!E19-'01_Assumptions'!C25)*H11*(1+'01_Assumptions'!C24)</f>
        <v>0</v>
      </c>
      <c r="I20" s="20">
        <f>MAX(0,'02_Property_Sizes'!E19-'01_Assumptions'!C25)*I12*(1+'01_Assumptions'!C24)</f>
        <v>0</v>
      </c>
    </row>
    <row r="21">
      <c r="B21" s="5" t="str">
        <f>'02_Property_Sizes'!B20</f>
        <v>T4</v>
      </c>
      <c r="C21" s="20">
        <f>MAX(0,'02_Property_Sizes'!E20-'01_Assumptions'!C25)*C6*(1+'01_Assumptions'!C24)</f>
        <v>14.924659199999999</v>
      </c>
      <c r="D21" s="20">
        <f>MAX(0,'02_Property_Sizes'!E20-'01_Assumptions'!C25)*D7*(1+'01_Assumptions'!C24)</f>
        <v>1.2781823999999997</v>
      </c>
      <c r="E21" s="20">
        <f>MAX(0,'02_Property_Sizes'!E20-'01_Assumptions'!C25)*E8*(1+'01_Assumptions'!C24)</f>
        <v>7.518719999999998</v>
      </c>
      <c r="F21" s="20" t="str">
        <f>MAX(0,'02_Property_Sizes'!E20-'01_Assumptions'!C25)*F9*(1+'01_Assumptions'!C24)</f>
        <v>#VALUE!</v>
      </c>
      <c r="G21" s="20">
        <f>MAX(0,'02_Property_Sizes'!E20-'01_Assumptions'!C25)*G10*(1+'01_Assumptions'!C24)</f>
        <v>0</v>
      </c>
      <c r="H21" s="20">
        <f>MAX(0,'02_Property_Sizes'!E20-'01_Assumptions'!C25)*H11*(1+'01_Assumptions'!C24)</f>
        <v>0</v>
      </c>
      <c r="I21" s="20">
        <f>MAX(0,'02_Property_Sizes'!E20-'01_Assumptions'!C25)*I12*(1+'01_Assumptions'!C24)</f>
        <v>0</v>
      </c>
    </row>
    <row r="22">
      <c r="B22" s="5" t="str">
        <f>'02_Property_Sizes'!B21</f>
        <v>T5</v>
      </c>
      <c r="C22" s="20">
        <f>MAX(0,'02_Property_Sizes'!E21-'01_Assumptions'!C25)*C6*(1+'01_Assumptions'!C24)</f>
        <v>89.02725</v>
      </c>
      <c r="D22" s="20">
        <f>MAX(0,'02_Property_Sizes'!E21-'01_Assumptions'!C25)*D7*(1+'01_Assumptions'!C24)</f>
        <v>7.624499999999999</v>
      </c>
      <c r="E22" s="20">
        <f>MAX(0,'02_Property_Sizes'!E21-'01_Assumptions'!C25)*E8*(1+'01_Assumptions'!C24)</f>
        <v>44.85</v>
      </c>
      <c r="F22" s="20" t="str">
        <f>MAX(0,'02_Property_Sizes'!E21-'01_Assumptions'!C25)*F9*(1+'01_Assumptions'!C24)</f>
        <v>#VALUE!</v>
      </c>
      <c r="G22" s="20">
        <f>MAX(0,'02_Property_Sizes'!E21-'01_Assumptions'!C25)*G10*(1+'01_Assumptions'!C24)</f>
        <v>0</v>
      </c>
      <c r="H22" s="20">
        <f>MAX(0,'02_Property_Sizes'!E21-'01_Assumptions'!C25)*H11*(1+'01_Assumptions'!C24)</f>
        <v>0</v>
      </c>
      <c r="I22" s="20">
        <f>MAX(0,'02_Property_Sizes'!E21-'01_Assumptions'!C25)*I12*(1+'01_Assumptions'!C24)</f>
        <v>0</v>
      </c>
    </row>
    <row r="24">
      <c r="B24" s="3" t="inlineStr">
        <is>
          <t>Cost per 100 conversations, by market</t>
        </is>
      </c>
    </row>
    <row r="25">
      <c r="B25" s="2" t="inlineStr">
        <is>
          <t>Assumes 5 hotel messages per conversation and ignores the monthly 1,000 free allowance (conservative at scale).</t>
        </is>
      </c>
    </row>
    <row r="26" ht="30" customHeight="1">
      <c r="B26" s="15" t="inlineStr">
        <is>
          <t>Metric</t>
        </is>
      </c>
      <c r="C26" s="15" t="inlineStr">
        <is>
          <t>Mexico</t>
        </is>
      </c>
      <c r="D26" s="15" t="inlineStr">
        <is>
          <t>Germany</t>
        </is>
      </c>
      <c r="E26" s="15" t="inlineStr">
        <is>
          <t>United States</t>
        </is>
      </c>
    </row>
    <row r="27">
      <c r="B27" s="5" t="inlineStr">
        <is>
          <t>Billable messages per 100 conversations</t>
        </is>
      </c>
      <c r="C27" s="22">
        <f>100*'01_Assumptions'!C26</f>
        <v>500</v>
      </c>
      <c r="D27" s="22">
        <f>100*'01_Assumptions'!C26</f>
        <v>500</v>
      </c>
      <c r="E27" s="22">
        <f>100*'01_Assumptions'!C26</f>
        <v>500</v>
      </c>
    </row>
    <row r="28">
      <c r="B28" s="5" t="inlineStr">
        <is>
          <t>Cost per 100 conversations (incl. markup)</t>
        </is>
      </c>
      <c r="C28" s="20">
        <f>C27*E6*(1+'01_Assumptions'!C24)</f>
        <v>5.1</v>
      </c>
      <c r="D28" s="20">
        <f>C27*E10*(1+'01_Assumptions'!C24)</f>
        <v>33</v>
      </c>
      <c r="E28" s="20">
        <f>C27*E7*(1+'01_Assumptions'!C24)</f>
        <v>2.04</v>
      </c>
    </row>
    <row r="30">
      <c r="B30" s="3" t="inlineStr">
        <is>
          <t>How to use this</t>
        </is>
      </c>
    </row>
    <row r="31">
      <c r="B31" s="5" t="inlineStr">
        <is>
          <t>•  Set the blended $/message on 02_Property_Sizes to the hotel's market. Mexico and US properties will never notice this line; a German or Spanish property will.</t>
        </is>
      </c>
    </row>
    <row r="32">
      <c r="B32" s="5" t="inlineStr">
        <is>
          <t>•  Utility templates sent OUTSIDE the 24h window are charged at the utility rate — budget those per campaign, not per conversation.</t>
        </is>
      </c>
    </row>
    <row r="33">
      <c r="B33" s="5" t="inlineStr">
        <is>
          <t>•  Messages inside a free entry point window (Click-to-WhatsApp ads) are not charged. Where a property runs CTWA, route acquisition traffic there.</t>
        </is>
      </c>
    </row>
    <row r="34">
      <c r="B34" s="5" t="inlineStr">
        <is>
          <t>•  Design consequence: keep replies efficient. Message count, not token count, is the unit of WhatsApp cost.</t>
        </is>
      </c>
    </row>
  </sheetData>
  <mergeCells count="4">
    <mergeCell ref="B33:I33"/>
    <mergeCell ref="B32:I32"/>
    <mergeCell ref="B34:I34"/>
    <mergeCell ref="B31:I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Q143"/>
  <sheetViews>
    <sheetView showGridLines="0" workbookViewId="0">
      <selection activeCell="A1" sqref="A1"/>
    </sheetView>
  </sheetViews>
  <sheetFormatPr baseColWidth="8" defaultRowHeight="15"/>
  <cols>
    <col width="3" customWidth="1" min="1" max="1"/>
    <col width="26" customWidth="1" min="2" max="2"/>
    <col width="11" customWidth="1" min="3" max="3"/>
    <col width="17" customWidth="1" min="4" max="4"/>
    <col width="11" customWidth="1" min="5" max="5"/>
    <col width="11" customWidth="1" min="6" max="6"/>
    <col width="16" customWidth="1" min="7" max="7"/>
    <col width="14" customWidth="1" min="8" max="8"/>
    <col width="13" customWidth="1" min="9" max="9"/>
    <col width="13" customWidth="1" min="10" max="10"/>
    <col width="12" customWidth="1" min="11" max="11"/>
    <col width="13" customWidth="1" min="12" max="12"/>
    <col width="13" customWidth="1" min="13" max="13"/>
    <col width="13" customWidth="1" min="14" max="14"/>
    <col width="10" customWidth="1" min="15" max="15"/>
    <col width="11" customWidth="1" min="16" max="16"/>
    <col width="8" customWidth="1" min="17" max="17"/>
  </cols>
  <sheetData>
    <row r="2">
      <c r="B2" s="1" t="inlineStr">
        <is>
          <t>24-month ramp — three scenarios</t>
        </is>
      </c>
    </row>
    <row r="3">
      <c r="B3" s="2" t="inlineStr">
        <is>
          <t>Pilots are the only hard input. New paid properties convert with a one-month lag; churn hits the opening base.</t>
        </is>
      </c>
    </row>
    <row r="5">
      <c r="B5" s="3" t="inlineStr">
        <is>
          <t>Scenario parameters</t>
        </is>
      </c>
    </row>
    <row r="6" ht="42" customHeight="1">
      <c r="B6" s="15" t="inlineStr">
        <is>
          <t>Scenario</t>
        </is>
      </c>
      <c r="C6" s="15" t="inlineStr">
        <is>
          <t>Pilot→paid</t>
        </is>
      </c>
      <c r="D6" s="15" t="inlineStr">
        <is>
          <t>Monthly churn</t>
        </is>
      </c>
      <c r="E6" s="15" t="inlineStr">
        <is>
          <t>ARPU $/mo</t>
        </is>
      </c>
      <c r="F6" s="15" t="inlineStr">
        <is>
          <t>COGS $/property</t>
        </is>
      </c>
      <c r="G6" s="15" t="inlineStr">
        <is>
          <t>Opex base</t>
        </is>
      </c>
      <c r="H6" s="15" t="inlineStr">
        <is>
          <t>Opex step</t>
        </is>
      </c>
      <c r="I6" s="15" t="inlineStr">
        <is>
          <t>Threshold 1</t>
        </is>
      </c>
      <c r="J6" s="15" t="inlineStr">
        <is>
          <t>Threshold 2</t>
        </is>
      </c>
      <c r="K6" s="15" t="inlineStr">
        <is>
          <t>Setup realization</t>
        </is>
      </c>
    </row>
    <row r="7">
      <c r="B7" s="3" t="inlineStr">
        <is>
          <t>Conservative</t>
        </is>
      </c>
      <c r="C7" s="13" t="n">
        <v>0.55</v>
      </c>
      <c r="D7" s="13" t="n">
        <v>0.03</v>
      </c>
      <c r="E7" s="20">
        <f>'01_Assumptions'!C41</f>
        <v>439.49999999999994</v>
      </c>
      <c r="F7" s="20">
        <f>'01_Assumptions'!C42</f>
        <v>67.8082136</v>
      </c>
      <c r="G7" s="22">
        <f>'01_Assumptions'!C36</f>
        <v>7200</v>
      </c>
      <c r="H7" s="22">
        <f>'01_Assumptions'!C37</f>
        <v>3600</v>
      </c>
      <c r="I7" s="22">
        <f>'01_Assumptions'!C38</f>
        <v>25</v>
      </c>
      <c r="J7" s="22">
        <f>'01_Assumptions'!C39</f>
        <v>55</v>
      </c>
      <c r="K7" s="31">
        <f>1-'01_Assumptions'!C30</f>
        <v>0.5</v>
      </c>
    </row>
    <row r="8">
      <c r="B8" s="3" t="inlineStr">
        <is>
          <t>Base</t>
        </is>
      </c>
      <c r="C8" s="13" t="n">
        <v>0.6</v>
      </c>
      <c r="D8" s="13" t="n">
        <v>0.025</v>
      </c>
      <c r="E8" s="20">
        <f>'01_Assumptions'!C41</f>
        <v>439.49999999999994</v>
      </c>
      <c r="F8" s="20">
        <f>'01_Assumptions'!C42</f>
        <v>67.8082136</v>
      </c>
      <c r="G8" s="22">
        <f>'01_Assumptions'!C36</f>
        <v>7200</v>
      </c>
      <c r="H8" s="22">
        <f>'01_Assumptions'!C37</f>
        <v>3600</v>
      </c>
      <c r="I8" s="22">
        <f>'01_Assumptions'!C38</f>
        <v>25</v>
      </c>
      <c r="J8" s="22">
        <f>'01_Assumptions'!C39</f>
        <v>55</v>
      </c>
      <c r="K8" s="31">
        <f>1-'01_Assumptions'!C30</f>
        <v>0.5</v>
      </c>
    </row>
    <row r="9">
      <c r="B9" s="3" t="inlineStr">
        <is>
          <t>Aggressive</t>
        </is>
      </c>
      <c r="C9" s="13" t="n">
        <v>0.7</v>
      </c>
      <c r="D9" s="13" t="n">
        <v>0.018</v>
      </c>
      <c r="E9" s="20">
        <f>'01_Assumptions'!C41</f>
        <v>439.49999999999994</v>
      </c>
      <c r="F9" s="20">
        <f>'01_Assumptions'!C42</f>
        <v>67.8082136</v>
      </c>
      <c r="G9" s="22">
        <f>'01_Assumptions'!C36</f>
        <v>7200</v>
      </c>
      <c r="H9" s="22">
        <f>'01_Assumptions'!C37</f>
        <v>3600</v>
      </c>
      <c r="I9" s="22">
        <f>'01_Assumptions'!C38</f>
        <v>25</v>
      </c>
      <c r="J9" s="22">
        <f>'01_Assumptions'!C39</f>
        <v>55</v>
      </c>
      <c r="K9" s="31">
        <f>1-'01_Assumptions'!C30</f>
        <v>0.5</v>
      </c>
    </row>
    <row r="10">
      <c r="B10" s="32" t="inlineStr">
        <is>
          <t>CONSERVATIVE — monthly model</t>
        </is>
      </c>
      <c r="C10" s="33" t="n"/>
      <c r="D10" s="33" t="n"/>
      <c r="E10" s="33" t="n"/>
      <c r="F10" s="33" t="n"/>
      <c r="G10" s="33" t="n"/>
      <c r="H10" s="33" t="n"/>
      <c r="I10" s="33" t="n"/>
      <c r="J10" s="33" t="n"/>
      <c r="K10" s="33" t="n"/>
      <c r="L10" s="33" t="n"/>
      <c r="M10" s="33" t="n"/>
      <c r="N10" s="33" t="n"/>
      <c r="O10" s="33" t="n"/>
      <c r="P10" s="33" t="n"/>
      <c r="Q10" s="33" t="n"/>
    </row>
    <row r="11" ht="40" customHeight="1">
      <c r="B11" s="15" t="inlineStr">
        <is>
          <t>Month</t>
        </is>
      </c>
      <c r="C11" s="15" t="inlineStr">
        <is>
          <t>New pilots</t>
        </is>
      </c>
      <c r="D11" s="15" t="inlineStr">
        <is>
          <t>Active properties BOP</t>
        </is>
      </c>
      <c r="E11" s="15" t="inlineStr">
        <is>
          <t>New paid</t>
        </is>
      </c>
      <c r="F11" s="15" t="inlineStr">
        <is>
          <t>Churned</t>
        </is>
      </c>
      <c r="G11" s="15" t="inlineStr">
        <is>
          <t>Active properties EOP</t>
        </is>
      </c>
      <c r="H11" s="15" t="inlineStr">
        <is>
          <t>Subscription MRR</t>
        </is>
      </c>
      <c r="I11" s="15" t="inlineStr">
        <is>
          <t>Setup cash</t>
        </is>
      </c>
      <c r="J11" s="15" t="inlineStr">
        <is>
          <t>Total revenue</t>
        </is>
      </c>
      <c r="K11" s="15" t="inlineStr">
        <is>
          <t>COGS</t>
        </is>
      </c>
      <c r="L11" s="15" t="inlineStr">
        <is>
          <t>Fixed opex</t>
        </is>
      </c>
      <c r="M11" s="15" t="inlineStr">
        <is>
          <t>Net cash flow</t>
        </is>
      </c>
      <c r="N11" s="15" t="inlineStr">
        <is>
          <t>Cumulative cash</t>
        </is>
      </c>
      <c r="O11" s="15" t="inlineStr">
        <is>
          <t>Profitable?</t>
        </is>
      </c>
      <c r="P11" s="15" t="inlineStr">
        <is>
          <t>Cash-positive?</t>
        </is>
      </c>
      <c r="Q11" s="15" t="inlineStr">
        <is>
          <t>Note</t>
        </is>
      </c>
    </row>
    <row r="12">
      <c r="B12" s="22" t="n">
        <v>1</v>
      </c>
      <c r="C12" s="14" t="n">
        <v>1</v>
      </c>
      <c r="D12" s="22" t="n">
        <v>0</v>
      </c>
      <c r="E12" s="22" t="n">
        <v>0</v>
      </c>
      <c r="F12" s="22" t="n">
        <v>0</v>
      </c>
      <c r="G12" s="22">
        <f>D12+E12-F12</f>
        <v>0</v>
      </c>
      <c r="H12" s="22">
        <f>G12*$E$7</f>
        <v>0</v>
      </c>
      <c r="I12" s="22">
        <f>E12*'01_Assumptions'!C29*$K$7</f>
        <v>0</v>
      </c>
      <c r="J12" s="22">
        <f>H12+I12</f>
        <v>0</v>
      </c>
      <c r="K12" s="22">
        <f>G12*$F$7</f>
        <v>0</v>
      </c>
      <c r="L12" s="22">
        <f>$G$7+IF(G12&gt;=$I$7,$H$7,0)+IF(G12&gt;=$J$7,$H$7,0)</f>
        <v>7200</v>
      </c>
      <c r="M12" s="34">
        <f>J12-K12-L12</f>
        <v>-7200</v>
      </c>
      <c r="N12" s="22">
        <f>-'01_Assumptions'!C40+M12</f>
        <v>-24200</v>
      </c>
      <c r="O12" s="22">
        <f>IF(M12&gt;0,1,0)</f>
        <v>0</v>
      </c>
      <c r="P12" s="22">
        <f>IF(N12&gt;=0,1,0)</f>
        <v>0</v>
      </c>
    </row>
    <row r="13">
      <c r="B13" s="22" t="n">
        <v>2</v>
      </c>
      <c r="C13" s="14" t="n">
        <v>1</v>
      </c>
      <c r="D13" s="22">
        <f>G12</f>
        <v>0</v>
      </c>
      <c r="E13" s="22">
        <f>ROUND(C12*$C$7,0)</f>
        <v>1</v>
      </c>
      <c r="F13" s="22">
        <f>ROUND(D13*$D$7,0)</f>
        <v>0</v>
      </c>
      <c r="G13" s="22">
        <f>D13+E13-F13</f>
        <v>1</v>
      </c>
      <c r="H13" s="22">
        <f>G13*$E$7</f>
        <v>439.49999999999994</v>
      </c>
      <c r="I13" s="22">
        <f>E13*'01_Assumptions'!C29*$K$7</f>
        <v>250</v>
      </c>
      <c r="J13" s="22">
        <f>H13+I13</f>
        <v>689.5</v>
      </c>
      <c r="K13" s="22">
        <f>G13*$F$7</f>
        <v>67.8082136</v>
      </c>
      <c r="L13" s="22">
        <f>$G$7+IF(G13&gt;=$I$7,$H$7,0)+IF(G13&gt;=$J$7,$H$7,0)</f>
        <v>7200</v>
      </c>
      <c r="M13" s="34">
        <f>J13-K13-L13</f>
        <v>-6578.3082136</v>
      </c>
      <c r="N13" s="22">
        <f>N12+M13</f>
        <v>-30778.3082136</v>
      </c>
      <c r="O13" s="22">
        <f>IF(M13&gt;0,1,0)</f>
        <v>0</v>
      </c>
      <c r="P13" s="22">
        <f>IF(N13&gt;=0,1,0)</f>
        <v>0</v>
      </c>
    </row>
    <row r="14">
      <c r="B14" s="22" t="n">
        <v>3</v>
      </c>
      <c r="C14" s="14" t="n">
        <v>1</v>
      </c>
      <c r="D14" s="22">
        <f>G13</f>
        <v>1</v>
      </c>
      <c r="E14" s="22">
        <f>ROUND(C13*$C$7,0)</f>
        <v>1</v>
      </c>
      <c r="F14" s="22">
        <f>ROUND(D14*$D$7,0)</f>
        <v>0</v>
      </c>
      <c r="G14" s="22">
        <f>D14+E14-F14</f>
        <v>2</v>
      </c>
      <c r="H14" s="22">
        <f>G14*$E$7</f>
        <v>878.9999999999999</v>
      </c>
      <c r="I14" s="22">
        <f>E14*'01_Assumptions'!C29*$K$7</f>
        <v>250</v>
      </c>
      <c r="J14" s="22">
        <f>H14+I14</f>
        <v>1129</v>
      </c>
      <c r="K14" s="22">
        <f>G14*$F$7</f>
        <v>135.6164272</v>
      </c>
      <c r="L14" s="22">
        <f>$G$7+IF(G14&gt;=$I$7,$H$7,0)+IF(G14&gt;=$J$7,$H$7,0)</f>
        <v>7200</v>
      </c>
      <c r="M14" s="34">
        <f>J14-K14-L14</f>
        <v>-6206.6164272</v>
      </c>
      <c r="N14" s="22">
        <f>N13+M14</f>
        <v>-36984.9246408</v>
      </c>
      <c r="O14" s="22">
        <f>IF(M14&gt;0,1,0)</f>
        <v>0</v>
      </c>
      <c r="P14" s="22">
        <f>IF(N14&gt;=0,1,0)</f>
        <v>0</v>
      </c>
    </row>
    <row r="15">
      <c r="B15" s="22" t="n">
        <v>4</v>
      </c>
      <c r="C15" s="14" t="n">
        <v>1</v>
      </c>
      <c r="D15" s="22">
        <f>G14</f>
        <v>2</v>
      </c>
      <c r="E15" s="22">
        <f>ROUND(C14*$C$7,0)</f>
        <v>1</v>
      </c>
      <c r="F15" s="22">
        <f>ROUND(D15*$D$7,0)</f>
        <v>0</v>
      </c>
      <c r="G15" s="22">
        <f>D15+E15-F15</f>
        <v>3</v>
      </c>
      <c r="H15" s="22">
        <f>G15*$E$7</f>
        <v>1318.4999999999998</v>
      </c>
      <c r="I15" s="22">
        <f>E15*'01_Assumptions'!C29*$K$7</f>
        <v>250</v>
      </c>
      <c r="J15" s="22">
        <f>H15+I15</f>
        <v>1568.4999999999998</v>
      </c>
      <c r="K15" s="22">
        <f>G15*$F$7</f>
        <v>203.42464080000002</v>
      </c>
      <c r="L15" s="22">
        <f>$G$7+IF(G15&gt;=$I$7,$H$7,0)+IF(G15&gt;=$J$7,$H$7,0)</f>
        <v>7200</v>
      </c>
      <c r="M15" s="34">
        <f>J15-K15-L15</f>
        <v>-5834.9246408</v>
      </c>
      <c r="N15" s="22">
        <f>N14+M15</f>
        <v>-42819.84928160001</v>
      </c>
      <c r="O15" s="22">
        <f>IF(M15&gt;0,1,0)</f>
        <v>0</v>
      </c>
      <c r="P15" s="22">
        <f>IF(N15&gt;=0,1,0)</f>
        <v>0</v>
      </c>
    </row>
    <row r="16">
      <c r="B16" s="22" t="n">
        <v>5</v>
      </c>
      <c r="C16" s="14" t="n">
        <v>2</v>
      </c>
      <c r="D16" s="22">
        <f>G15</f>
        <v>3</v>
      </c>
      <c r="E16" s="22">
        <f>ROUND(C15*$C$7,0)</f>
        <v>1</v>
      </c>
      <c r="F16" s="22">
        <f>ROUND(D16*$D$7,0)</f>
        <v>0</v>
      </c>
      <c r="G16" s="22">
        <f>D16+E16-F16</f>
        <v>4</v>
      </c>
      <c r="H16" s="22">
        <f>G16*$E$7</f>
        <v>1757.9999999999998</v>
      </c>
      <c r="I16" s="22">
        <f>E16*'01_Assumptions'!C29*$K$7</f>
        <v>250</v>
      </c>
      <c r="J16" s="22">
        <f>H16+I16</f>
        <v>2007.9999999999998</v>
      </c>
      <c r="K16" s="22">
        <f>G16*$F$7</f>
        <v>271.2328544</v>
      </c>
      <c r="L16" s="22">
        <f>$G$7+IF(G16&gt;=$I$7,$H$7,0)+IF(G16&gt;=$J$7,$H$7,0)</f>
        <v>7200</v>
      </c>
      <c r="M16" s="34">
        <f>J16-K16-L16</f>
        <v>-5463.2328544</v>
      </c>
      <c r="N16" s="22">
        <f>N15+M16</f>
        <v>-48283.082136000005</v>
      </c>
      <c r="O16" s="22">
        <f>IF(M16&gt;0,1,0)</f>
        <v>0</v>
      </c>
      <c r="P16" s="22">
        <f>IF(N16&gt;=0,1,0)</f>
        <v>0</v>
      </c>
    </row>
    <row r="17">
      <c r="B17" s="22" t="n">
        <v>6</v>
      </c>
      <c r="C17" s="14" t="n">
        <v>2</v>
      </c>
      <c r="D17" s="22">
        <f>G16</f>
        <v>4</v>
      </c>
      <c r="E17" s="22">
        <f>ROUND(C16*$C$7,0)</f>
        <v>1</v>
      </c>
      <c r="F17" s="22">
        <f>ROUND(D17*$D$7,0)</f>
        <v>0</v>
      </c>
      <c r="G17" s="22">
        <f>D17+E17-F17</f>
        <v>5</v>
      </c>
      <c r="H17" s="22">
        <f>G17*$E$7</f>
        <v>2197.4999999999995</v>
      </c>
      <c r="I17" s="22">
        <f>E17*'01_Assumptions'!C29*$K$7</f>
        <v>250</v>
      </c>
      <c r="J17" s="22">
        <f>H17+I17</f>
        <v>2447.4999999999995</v>
      </c>
      <c r="K17" s="22">
        <f>G17*$F$7</f>
        <v>339.041068</v>
      </c>
      <c r="L17" s="22">
        <f>$G$7+IF(G17&gt;=$I$7,$H$7,0)+IF(G17&gt;=$J$7,$H$7,0)</f>
        <v>7200</v>
      </c>
      <c r="M17" s="34">
        <f>J17-K17-L17</f>
        <v>-5091.541068</v>
      </c>
      <c r="N17" s="22">
        <f>N16+M17</f>
        <v>-53374.623204</v>
      </c>
      <c r="O17" s="22">
        <f>IF(M17&gt;0,1,0)</f>
        <v>0</v>
      </c>
      <c r="P17" s="22">
        <f>IF(N17&gt;=0,1,0)</f>
        <v>0</v>
      </c>
    </row>
    <row r="18">
      <c r="B18" s="22" t="n">
        <v>7</v>
      </c>
      <c r="C18" s="14" t="n">
        <v>2</v>
      </c>
      <c r="D18" s="22">
        <f>G17</f>
        <v>5</v>
      </c>
      <c r="E18" s="22">
        <f>ROUND(C17*$C$7,0)</f>
        <v>1</v>
      </c>
      <c r="F18" s="22">
        <f>ROUND(D18*$D$7,0)</f>
        <v>0</v>
      </c>
      <c r="G18" s="22">
        <f>D18+E18-F18</f>
        <v>6</v>
      </c>
      <c r="H18" s="22">
        <f>G18*$E$7</f>
        <v>2636.9999999999995</v>
      </c>
      <c r="I18" s="22">
        <f>E18*'01_Assumptions'!C29*$K$7</f>
        <v>250</v>
      </c>
      <c r="J18" s="22">
        <f>H18+I18</f>
        <v>2886.9999999999995</v>
      </c>
      <c r="K18" s="22">
        <f>G18*$F$7</f>
        <v>406.84928160000004</v>
      </c>
      <c r="L18" s="22">
        <f>$G$7+IF(G18&gt;=$I$7,$H$7,0)+IF(G18&gt;=$J$7,$H$7,0)</f>
        <v>7200</v>
      </c>
      <c r="M18" s="34">
        <f>J18-K18-L18</f>
        <v>-4719.849281600001</v>
      </c>
      <c r="N18" s="22">
        <f>N17+M18</f>
        <v>-58094.4724856</v>
      </c>
      <c r="O18" s="22">
        <f>IF(M18&gt;0,1,0)</f>
        <v>0</v>
      </c>
      <c r="P18" s="22">
        <f>IF(N18&gt;=0,1,0)</f>
        <v>0</v>
      </c>
    </row>
    <row r="19">
      <c r="B19" s="22" t="n">
        <v>8</v>
      </c>
      <c r="C19" s="14" t="n">
        <v>2</v>
      </c>
      <c r="D19" s="22">
        <f>G18</f>
        <v>6</v>
      </c>
      <c r="E19" s="22">
        <f>ROUND(C18*$C$7,0)</f>
        <v>1</v>
      </c>
      <c r="F19" s="22">
        <f>ROUND(D19*$D$7,0)</f>
        <v>0</v>
      </c>
      <c r="G19" s="22">
        <f>D19+E19-F19</f>
        <v>7</v>
      </c>
      <c r="H19" s="22">
        <f>G19*$E$7</f>
        <v>3076.4999999999995</v>
      </c>
      <c r="I19" s="22">
        <f>E19*'01_Assumptions'!C29*$K$7</f>
        <v>250</v>
      </c>
      <c r="J19" s="22">
        <f>H19+I19</f>
        <v>3326.4999999999995</v>
      </c>
      <c r="K19" s="22">
        <f>G19*$F$7</f>
        <v>474.6574952</v>
      </c>
      <c r="L19" s="22">
        <f>$G$7+IF(G19&gt;=$I$7,$H$7,0)+IF(G19&gt;=$J$7,$H$7,0)</f>
        <v>7200</v>
      </c>
      <c r="M19" s="34">
        <f>J19-K19-L19</f>
        <v>-4348.157495200001</v>
      </c>
      <c r="N19" s="22">
        <f>N18+M19</f>
        <v>-62442.629980800004</v>
      </c>
      <c r="O19" s="22">
        <f>IF(M19&gt;0,1,0)</f>
        <v>0</v>
      </c>
      <c r="P19" s="22">
        <f>IF(N19&gt;=0,1,0)</f>
        <v>0</v>
      </c>
    </row>
    <row r="20">
      <c r="B20" s="22" t="n">
        <v>9</v>
      </c>
      <c r="C20" s="14" t="n">
        <v>2</v>
      </c>
      <c r="D20" s="22">
        <f>G19</f>
        <v>7</v>
      </c>
      <c r="E20" s="22">
        <f>ROUND(C19*$C$7,0)</f>
        <v>1</v>
      </c>
      <c r="F20" s="22">
        <f>ROUND(D20*$D$7,0)</f>
        <v>0</v>
      </c>
      <c r="G20" s="22">
        <f>D20+E20-F20</f>
        <v>8</v>
      </c>
      <c r="H20" s="22">
        <f>G20*$E$7</f>
        <v>3515.9999999999995</v>
      </c>
      <c r="I20" s="22">
        <f>E20*'01_Assumptions'!C29*$K$7</f>
        <v>250</v>
      </c>
      <c r="J20" s="22">
        <f>H20+I20</f>
        <v>3765.9999999999995</v>
      </c>
      <c r="K20" s="22">
        <f>G20*$F$7</f>
        <v>542.4657088</v>
      </c>
      <c r="L20" s="22">
        <f>$G$7+IF(G20&gt;=$I$7,$H$7,0)+IF(G20&gt;=$J$7,$H$7,0)</f>
        <v>7200</v>
      </c>
      <c r="M20" s="34">
        <f>J20-K20-L20</f>
        <v>-3976.4657088000004</v>
      </c>
      <c r="N20" s="22">
        <f>N19+M20</f>
        <v>-66419.0956896</v>
      </c>
      <c r="O20" s="22">
        <f>IF(M20&gt;0,1,0)</f>
        <v>0</v>
      </c>
      <c r="P20" s="22">
        <f>IF(N20&gt;=0,1,0)</f>
        <v>0</v>
      </c>
    </row>
    <row r="21">
      <c r="B21" s="22" t="n">
        <v>10</v>
      </c>
      <c r="C21" s="14" t="n">
        <v>2</v>
      </c>
      <c r="D21" s="22">
        <f>G20</f>
        <v>8</v>
      </c>
      <c r="E21" s="22">
        <f>ROUND(C20*$C$7,0)</f>
        <v>1</v>
      </c>
      <c r="F21" s="22">
        <f>ROUND(D21*$D$7,0)</f>
        <v>0</v>
      </c>
      <c r="G21" s="22">
        <f>D21+E21-F21</f>
        <v>9</v>
      </c>
      <c r="H21" s="22">
        <f>G21*$E$7</f>
        <v>3955.4999999999995</v>
      </c>
      <c r="I21" s="22">
        <f>E21*'01_Assumptions'!C29*$K$7</f>
        <v>250</v>
      </c>
      <c r="J21" s="22">
        <f>H21+I21</f>
        <v>4205.5</v>
      </c>
      <c r="K21" s="22">
        <f>G21*$F$7</f>
        <v>610.2739224000001</v>
      </c>
      <c r="L21" s="22">
        <f>$G$7+IF(G21&gt;=$I$7,$H$7,0)+IF(G21&gt;=$J$7,$H$7,0)</f>
        <v>7200</v>
      </c>
      <c r="M21" s="34">
        <f>J21-K21-L21</f>
        <v>-3604.7739224</v>
      </c>
      <c r="N21" s="22">
        <f>N20+M21</f>
        <v>-70023.869612</v>
      </c>
      <c r="O21" s="22">
        <f>IF(M21&gt;0,1,0)</f>
        <v>0</v>
      </c>
      <c r="P21" s="22">
        <f>IF(N21&gt;=0,1,0)</f>
        <v>0</v>
      </c>
    </row>
    <row r="22">
      <c r="B22" s="22" t="n">
        <v>11</v>
      </c>
      <c r="C22" s="14" t="n">
        <v>2</v>
      </c>
      <c r="D22" s="22">
        <f>G21</f>
        <v>9</v>
      </c>
      <c r="E22" s="22">
        <f>ROUND(C21*$C$7,0)</f>
        <v>1</v>
      </c>
      <c r="F22" s="22">
        <f>ROUND(D22*$D$7,0)</f>
        <v>0</v>
      </c>
      <c r="G22" s="22">
        <f>D22+E22-F22</f>
        <v>10</v>
      </c>
      <c r="H22" s="22">
        <f>G22*$E$7</f>
        <v>4394.999999999999</v>
      </c>
      <c r="I22" s="22">
        <f>E22*'01_Assumptions'!C29*$K$7</f>
        <v>250</v>
      </c>
      <c r="J22" s="22">
        <f>H22+I22</f>
        <v>4644.999999999999</v>
      </c>
      <c r="K22" s="22">
        <f>G22*$F$7</f>
        <v>678.082136</v>
      </c>
      <c r="L22" s="22">
        <f>$G$7+IF(G22&gt;=$I$7,$H$7,0)+IF(G22&gt;=$J$7,$H$7,0)</f>
        <v>7200</v>
      </c>
      <c r="M22" s="34">
        <f>J22-K22-L22</f>
        <v>-3233.082136000001</v>
      </c>
      <c r="N22" s="22">
        <f>N21+M22</f>
        <v>-73256.95174799999</v>
      </c>
      <c r="O22" s="22">
        <f>IF(M22&gt;0,1,0)</f>
        <v>0</v>
      </c>
      <c r="P22" s="22">
        <f>IF(N22&gt;=0,1,0)</f>
        <v>0</v>
      </c>
    </row>
    <row r="23">
      <c r="B23" s="22" t="n">
        <v>12</v>
      </c>
      <c r="C23" s="14" t="n">
        <v>2</v>
      </c>
      <c r="D23" s="22">
        <f>G22</f>
        <v>10</v>
      </c>
      <c r="E23" s="22">
        <f>ROUND(C22*$C$7,0)</f>
        <v>1</v>
      </c>
      <c r="F23" s="22">
        <f>ROUND(D23*$D$7,0)</f>
        <v>0</v>
      </c>
      <c r="G23" s="22">
        <f>D23+E23-F23</f>
        <v>11</v>
      </c>
      <c r="H23" s="22">
        <f>G23*$E$7</f>
        <v>4834.499999999999</v>
      </c>
      <c r="I23" s="22">
        <f>E23*'01_Assumptions'!C29*$K$7</f>
        <v>250</v>
      </c>
      <c r="J23" s="22">
        <f>H23+I23</f>
        <v>5084.499999999999</v>
      </c>
      <c r="K23" s="22">
        <f>G23*$F$7</f>
        <v>745.8903496</v>
      </c>
      <c r="L23" s="22">
        <f>$G$7+IF(G23&gt;=$I$7,$H$7,0)+IF(G23&gt;=$J$7,$H$7,0)</f>
        <v>7200</v>
      </c>
      <c r="M23" s="34">
        <f>J23-K23-L23</f>
        <v>-2861.390349600001</v>
      </c>
      <c r="N23" s="22">
        <f>N22+M23</f>
        <v>-76118.34209759999</v>
      </c>
      <c r="O23" s="22">
        <f>IF(M23&gt;0,1,0)</f>
        <v>0</v>
      </c>
      <c r="P23" s="22">
        <f>IF(N23&gt;=0,1,0)</f>
        <v>0</v>
      </c>
    </row>
    <row r="24">
      <c r="B24" s="22" t="n">
        <v>13</v>
      </c>
      <c r="C24" s="14" t="n">
        <v>3</v>
      </c>
      <c r="D24" s="22">
        <f>G23</f>
        <v>11</v>
      </c>
      <c r="E24" s="22">
        <f>ROUND(C23*$C$7,0)</f>
        <v>1</v>
      </c>
      <c r="F24" s="22">
        <f>ROUND(D24*$D$7,0)</f>
        <v>0</v>
      </c>
      <c r="G24" s="22">
        <f>D24+E24-F24</f>
        <v>12</v>
      </c>
      <c r="H24" s="22">
        <f>G24*$E$7</f>
        <v>5273.999999999999</v>
      </c>
      <c r="I24" s="22">
        <f>E24*'01_Assumptions'!C29*$K$7</f>
        <v>250</v>
      </c>
      <c r="J24" s="22">
        <f>H24+I24</f>
        <v>5523.999999999999</v>
      </c>
      <c r="K24" s="22">
        <f>G24*$F$7</f>
        <v>813.6985632000001</v>
      </c>
      <c r="L24" s="22">
        <f>$G$7+IF(G24&gt;=$I$7,$H$7,0)+IF(G24&gt;=$J$7,$H$7,0)</f>
        <v>7200</v>
      </c>
      <c r="M24" s="34">
        <f>J24-K24-L24</f>
        <v>-2489.6985632000014</v>
      </c>
      <c r="N24" s="22">
        <f>N23+M24</f>
        <v>-78608.04066079999</v>
      </c>
      <c r="O24" s="22">
        <f>IF(M24&gt;0,1,0)</f>
        <v>0</v>
      </c>
      <c r="P24" s="22">
        <f>IF(N24&gt;=0,1,0)</f>
        <v>0</v>
      </c>
    </row>
    <row r="25">
      <c r="B25" s="22" t="n">
        <v>14</v>
      </c>
      <c r="C25" s="14" t="n">
        <v>3</v>
      </c>
      <c r="D25" s="22">
        <f>G24</f>
        <v>12</v>
      </c>
      <c r="E25" s="22">
        <f>ROUND(C24*$C$7,0)</f>
        <v>2</v>
      </c>
      <c r="F25" s="22">
        <f>ROUND(D25*$D$7,0)</f>
        <v>0</v>
      </c>
      <c r="G25" s="22">
        <f>D25+E25-F25</f>
        <v>14</v>
      </c>
      <c r="H25" s="22">
        <f>G25*$E$7</f>
        <v>6152.999999999999</v>
      </c>
      <c r="I25" s="22">
        <f>E25*'01_Assumptions'!C29*$K$7</f>
        <v>500</v>
      </c>
      <c r="J25" s="22">
        <f>H25+I25</f>
        <v>6652.999999999999</v>
      </c>
      <c r="K25" s="22">
        <f>G25*$F$7</f>
        <v>949.3149904</v>
      </c>
      <c r="L25" s="22">
        <f>$G$7+IF(G25&gt;=$I$7,$H$7,0)+IF(G25&gt;=$J$7,$H$7,0)</f>
        <v>7200</v>
      </c>
      <c r="M25" s="34">
        <f>J25-K25-L25</f>
        <v>-1496.314990400001</v>
      </c>
      <c r="N25" s="22">
        <f>N24+M25</f>
        <v>-80104.35565119999</v>
      </c>
      <c r="O25" s="22">
        <f>IF(M25&gt;0,1,0)</f>
        <v>0</v>
      </c>
      <c r="P25" s="22">
        <f>IF(N25&gt;=0,1,0)</f>
        <v>0</v>
      </c>
    </row>
    <row r="26">
      <c r="B26" s="22" t="n">
        <v>15</v>
      </c>
      <c r="C26" s="14" t="n">
        <v>3</v>
      </c>
      <c r="D26" s="22">
        <f>G25</f>
        <v>14</v>
      </c>
      <c r="E26" s="22">
        <f>ROUND(C25*$C$7,0)</f>
        <v>2</v>
      </c>
      <c r="F26" s="22">
        <f>ROUND(D26*$D$7,0)</f>
        <v>0</v>
      </c>
      <c r="G26" s="22">
        <f>D26+E26-F26</f>
        <v>16</v>
      </c>
      <c r="H26" s="22">
        <f>G26*$E$7</f>
        <v>7031.999999999999</v>
      </c>
      <c r="I26" s="22">
        <f>E26*'01_Assumptions'!C29*$K$7</f>
        <v>500</v>
      </c>
      <c r="J26" s="22">
        <f>H26+I26</f>
        <v>7531.999999999999</v>
      </c>
      <c r="K26" s="22">
        <f>G26*$F$7</f>
        <v>1084.9314176</v>
      </c>
      <c r="L26" s="22">
        <f>$G$7+IF(G26&gt;=$I$7,$H$7,0)+IF(G26&gt;=$J$7,$H$7,0)</f>
        <v>7200</v>
      </c>
      <c r="M26" s="34">
        <f>J26-K26-L26</f>
        <v>-752.9314176000007</v>
      </c>
      <c r="N26" s="22">
        <f>N25+M26</f>
        <v>-80857.2870688</v>
      </c>
      <c r="O26" s="22">
        <f>IF(M26&gt;0,1,0)</f>
        <v>0</v>
      </c>
      <c r="P26" s="22">
        <f>IF(N26&gt;=0,1,0)</f>
        <v>0</v>
      </c>
    </row>
    <row r="27">
      <c r="B27" s="22" t="n">
        <v>16</v>
      </c>
      <c r="C27" s="14" t="n">
        <v>3</v>
      </c>
      <c r="D27" s="22">
        <f>G26</f>
        <v>16</v>
      </c>
      <c r="E27" s="22">
        <f>ROUND(C26*$C$7,0)</f>
        <v>2</v>
      </c>
      <c r="F27" s="22">
        <f>ROUND(D27*$D$7,0)</f>
        <v>0</v>
      </c>
      <c r="G27" s="22">
        <f>D27+E27-F27</f>
        <v>18</v>
      </c>
      <c r="H27" s="22">
        <f>G27*$E$7</f>
        <v>7910.999999999999</v>
      </c>
      <c r="I27" s="22">
        <f>E27*'01_Assumptions'!C29*$K$7</f>
        <v>500</v>
      </c>
      <c r="J27" s="22">
        <f>H27+I27</f>
        <v>8411</v>
      </c>
      <c r="K27" s="22">
        <f>G27*$F$7</f>
        <v>1220.5478448000001</v>
      </c>
      <c r="L27" s="22">
        <f>$G$7+IF(G27&gt;=$I$7,$H$7,0)+IF(G27&gt;=$J$7,$H$7,0)</f>
        <v>7200</v>
      </c>
      <c r="M27" s="34">
        <f>J27-K27-L27</f>
        <v>-9.547844800000348</v>
      </c>
      <c r="N27" s="22">
        <f>N26+M27</f>
        <v>-80866.8349136</v>
      </c>
      <c r="O27" s="22">
        <f>IF(M27&gt;0,1,0)</f>
        <v>0</v>
      </c>
      <c r="P27" s="22">
        <f>IF(N27&gt;=0,1,0)</f>
        <v>0</v>
      </c>
    </row>
    <row r="28">
      <c r="B28" s="22" t="n">
        <v>17</v>
      </c>
      <c r="C28" s="14" t="n">
        <v>3</v>
      </c>
      <c r="D28" s="22">
        <f>G27</f>
        <v>18</v>
      </c>
      <c r="E28" s="22">
        <f>ROUND(C27*$C$7,0)</f>
        <v>2</v>
      </c>
      <c r="F28" s="22">
        <f>ROUND(D28*$D$7,0)</f>
        <v>1</v>
      </c>
      <c r="G28" s="22">
        <f>D28+E28-F28</f>
        <v>19</v>
      </c>
      <c r="H28" s="22">
        <f>G28*$E$7</f>
        <v>8350.499999999998</v>
      </c>
      <c r="I28" s="22">
        <f>E28*'01_Assumptions'!C29*$K$7</f>
        <v>500</v>
      </c>
      <c r="J28" s="22">
        <f>H28+I28</f>
        <v>8850.499999999998</v>
      </c>
      <c r="K28" s="22">
        <f>G28*$F$7</f>
        <v>1288.3560584</v>
      </c>
      <c r="L28" s="22">
        <f>$G$7+IF(G28&gt;=$I$7,$H$7,0)+IF(G28&gt;=$J$7,$H$7,0)</f>
        <v>7200</v>
      </c>
      <c r="M28" s="34">
        <f>J28-K28-L28</f>
        <v>362.14394159999847</v>
      </c>
      <c r="N28" s="22">
        <f>N27+M28</f>
        <v>-80504.69097200001</v>
      </c>
      <c r="O28" s="22">
        <f>IF(M28&gt;0,1,0)</f>
        <v>1</v>
      </c>
      <c r="P28" s="22">
        <f>IF(N28&gt;=0,1,0)</f>
        <v>0</v>
      </c>
    </row>
    <row r="29">
      <c r="B29" s="22" t="n">
        <v>18</v>
      </c>
      <c r="C29" s="14" t="n">
        <v>3</v>
      </c>
      <c r="D29" s="22">
        <f>G28</f>
        <v>19</v>
      </c>
      <c r="E29" s="22">
        <f>ROUND(C28*$C$7,0)</f>
        <v>2</v>
      </c>
      <c r="F29" s="22">
        <f>ROUND(D29*$D$7,0)</f>
        <v>1</v>
      </c>
      <c r="G29" s="22">
        <f>D29+E29-F29</f>
        <v>20</v>
      </c>
      <c r="H29" s="22">
        <f>G29*$E$7</f>
        <v>8789.999999999998</v>
      </c>
      <c r="I29" s="22">
        <f>E29*'01_Assumptions'!C29*$K$7</f>
        <v>500</v>
      </c>
      <c r="J29" s="22">
        <f>H29+I29</f>
        <v>9289.999999999998</v>
      </c>
      <c r="K29" s="22">
        <f>G29*$F$7</f>
        <v>1356.164272</v>
      </c>
      <c r="L29" s="22">
        <f>$G$7+IF(G29&gt;=$I$7,$H$7,0)+IF(G29&gt;=$J$7,$H$7,0)</f>
        <v>7200</v>
      </c>
      <c r="M29" s="34">
        <f>J29-K29-L29</f>
        <v>733.8357279999982</v>
      </c>
      <c r="N29" s="22">
        <f>N28+M29</f>
        <v>-79770.855244</v>
      </c>
      <c r="O29" s="22">
        <f>IF(M29&gt;0,1,0)</f>
        <v>1</v>
      </c>
      <c r="P29" s="22">
        <f>IF(N29&gt;=0,1,0)</f>
        <v>0</v>
      </c>
    </row>
    <row r="30">
      <c r="B30" s="22" t="n">
        <v>19</v>
      </c>
      <c r="C30" s="14" t="n">
        <v>3</v>
      </c>
      <c r="D30" s="22">
        <f>G29</f>
        <v>20</v>
      </c>
      <c r="E30" s="22">
        <f>ROUND(C29*$C$7,0)</f>
        <v>2</v>
      </c>
      <c r="F30" s="22">
        <f>ROUND(D30*$D$7,0)</f>
        <v>1</v>
      </c>
      <c r="G30" s="22">
        <f>D30+E30-F30</f>
        <v>21</v>
      </c>
      <c r="H30" s="22">
        <f>G30*$E$7</f>
        <v>9229.499999999998</v>
      </c>
      <c r="I30" s="22">
        <f>E30*'01_Assumptions'!C29*$K$7</f>
        <v>500</v>
      </c>
      <c r="J30" s="22">
        <f>H30+I30</f>
        <v>9729.499999999998</v>
      </c>
      <c r="K30" s="22">
        <f>G30*$F$7</f>
        <v>1423.9724856</v>
      </c>
      <c r="L30" s="22">
        <f>$G$7+IF(G30&gt;=$I$7,$H$7,0)+IF(G30&gt;=$J$7,$H$7,0)</f>
        <v>7200</v>
      </c>
      <c r="M30" s="34">
        <f>J30-K30-L30</f>
        <v>1105.5275143999988</v>
      </c>
      <c r="N30" s="22">
        <f>N29+M30</f>
        <v>-78665.3277296</v>
      </c>
      <c r="O30" s="22">
        <f>IF(M30&gt;0,1,0)</f>
        <v>1</v>
      </c>
      <c r="P30" s="22">
        <f>IF(N30&gt;=0,1,0)</f>
        <v>0</v>
      </c>
    </row>
    <row r="31">
      <c r="B31" s="22" t="n">
        <v>20</v>
      </c>
      <c r="C31" s="14" t="n">
        <v>3</v>
      </c>
      <c r="D31" s="22">
        <f>G30</f>
        <v>21</v>
      </c>
      <c r="E31" s="22">
        <f>ROUND(C30*$C$7,0)</f>
        <v>2</v>
      </c>
      <c r="F31" s="22">
        <f>ROUND(D31*$D$7,0)</f>
        <v>1</v>
      </c>
      <c r="G31" s="22">
        <f>D31+E31-F31</f>
        <v>22</v>
      </c>
      <c r="H31" s="22">
        <f>G31*$E$7</f>
        <v>9668.999999999998</v>
      </c>
      <c r="I31" s="22">
        <f>E31*'01_Assumptions'!C29*$K$7</f>
        <v>500</v>
      </c>
      <c r="J31" s="22">
        <f>H31+I31</f>
        <v>10168.999999999998</v>
      </c>
      <c r="K31" s="22">
        <f>G31*$F$7</f>
        <v>1491.7806992</v>
      </c>
      <c r="L31" s="22">
        <f>$G$7+IF(G31&gt;=$I$7,$H$7,0)+IF(G31&gt;=$J$7,$H$7,0)</f>
        <v>7200</v>
      </c>
      <c r="M31" s="34">
        <f>J31-K31-L31</f>
        <v>1477.2193007999977</v>
      </c>
      <c r="N31" s="22">
        <f>N30+M31</f>
        <v>-77188.1084288</v>
      </c>
      <c r="O31" s="22">
        <f>IF(M31&gt;0,1,0)</f>
        <v>1</v>
      </c>
      <c r="P31" s="22">
        <f>IF(N31&gt;=0,1,0)</f>
        <v>0</v>
      </c>
    </row>
    <row r="32">
      <c r="B32" s="22" t="n">
        <v>21</v>
      </c>
      <c r="C32" s="14" t="n">
        <v>3</v>
      </c>
      <c r="D32" s="22">
        <f>G31</f>
        <v>22</v>
      </c>
      <c r="E32" s="22">
        <f>ROUND(C31*$C$7,0)</f>
        <v>2</v>
      </c>
      <c r="F32" s="22">
        <f>ROUND(D32*$D$7,0)</f>
        <v>1</v>
      </c>
      <c r="G32" s="22">
        <f>D32+E32-F32</f>
        <v>23</v>
      </c>
      <c r="H32" s="22">
        <f>G32*$E$7</f>
        <v>10108.499999999998</v>
      </c>
      <c r="I32" s="22">
        <f>E32*'01_Assumptions'!C29*$K$7</f>
        <v>500</v>
      </c>
      <c r="J32" s="22">
        <f>H32+I32</f>
        <v>10608.499999999998</v>
      </c>
      <c r="K32" s="22">
        <f>G32*$F$7</f>
        <v>1559.5889128000001</v>
      </c>
      <c r="L32" s="22">
        <f>$G$7+IF(G32&gt;=$I$7,$H$7,0)+IF(G32&gt;=$J$7,$H$7,0)</f>
        <v>7200</v>
      </c>
      <c r="M32" s="34">
        <f>J32-K32-L32</f>
        <v>1848.9110871999983</v>
      </c>
      <c r="N32" s="22">
        <f>N31+M32</f>
        <v>-75339.1973416</v>
      </c>
      <c r="O32" s="22">
        <f>IF(M32&gt;0,1,0)</f>
        <v>1</v>
      </c>
      <c r="P32" s="22">
        <f>IF(N32&gt;=0,1,0)</f>
        <v>0</v>
      </c>
    </row>
    <row r="33">
      <c r="B33" s="22" t="n">
        <v>22</v>
      </c>
      <c r="C33" s="14" t="n">
        <v>3</v>
      </c>
      <c r="D33" s="22">
        <f>G32</f>
        <v>23</v>
      </c>
      <c r="E33" s="22">
        <f>ROUND(C32*$C$7,0)</f>
        <v>2</v>
      </c>
      <c r="F33" s="22">
        <f>ROUND(D33*$D$7,0)</f>
        <v>1</v>
      </c>
      <c r="G33" s="22">
        <f>D33+E33-F33</f>
        <v>24</v>
      </c>
      <c r="H33" s="22">
        <f>G33*$E$7</f>
        <v>10547.999999999998</v>
      </c>
      <c r="I33" s="22">
        <f>E33*'01_Assumptions'!C29*$K$7</f>
        <v>500</v>
      </c>
      <c r="J33" s="22">
        <f>H33+I33</f>
        <v>11047.999999999998</v>
      </c>
      <c r="K33" s="22">
        <f>G33*$F$7</f>
        <v>1627.3971264000002</v>
      </c>
      <c r="L33" s="22">
        <f>$G$7+IF(G33&gt;=$I$7,$H$7,0)+IF(G33&gt;=$J$7,$H$7,0)</f>
        <v>7200</v>
      </c>
      <c r="M33" s="34">
        <f>J33-K33-L33</f>
        <v>2220.602873599997</v>
      </c>
      <c r="N33" s="22">
        <f>N32+M33</f>
        <v>-73118.594468</v>
      </c>
      <c r="O33" s="22">
        <f>IF(M33&gt;0,1,0)</f>
        <v>1</v>
      </c>
      <c r="P33" s="22">
        <f>IF(N33&gt;=0,1,0)</f>
        <v>0</v>
      </c>
    </row>
    <row r="34">
      <c r="B34" s="22" t="n">
        <v>23</v>
      </c>
      <c r="C34" s="14" t="n">
        <v>3</v>
      </c>
      <c r="D34" s="22">
        <f>G33</f>
        <v>24</v>
      </c>
      <c r="E34" s="22">
        <f>ROUND(C33*$C$7,0)</f>
        <v>2</v>
      </c>
      <c r="F34" s="22">
        <f>ROUND(D34*$D$7,0)</f>
        <v>1</v>
      </c>
      <c r="G34" s="22">
        <f>D34+E34-F34</f>
        <v>25</v>
      </c>
      <c r="H34" s="22">
        <f>G34*$E$7</f>
        <v>10987.499999999998</v>
      </c>
      <c r="I34" s="22">
        <f>E34*'01_Assumptions'!C29*$K$7</f>
        <v>500</v>
      </c>
      <c r="J34" s="22">
        <f>H34+I34</f>
        <v>11487.499999999998</v>
      </c>
      <c r="K34" s="22">
        <f>G34*$F$7</f>
        <v>1695.20534</v>
      </c>
      <c r="L34" s="22">
        <f>$G$7+IF(G34&gt;=$I$7,$H$7,0)+IF(G34&gt;=$J$7,$H$7,0)</f>
        <v>10800</v>
      </c>
      <c r="M34" s="34">
        <f>J34-K34-L34</f>
        <v>-1007.7053400000023</v>
      </c>
      <c r="N34" s="22">
        <f>N33+M34</f>
        <v>-74126.299808</v>
      </c>
      <c r="O34" s="22">
        <f>IF(M34&gt;0,1,0)</f>
        <v>0</v>
      </c>
      <c r="P34" s="22">
        <f>IF(N34&gt;=0,1,0)</f>
        <v>0</v>
      </c>
    </row>
    <row r="35">
      <c r="B35" s="22" t="n">
        <v>24</v>
      </c>
      <c r="C35" s="14" t="n">
        <v>3</v>
      </c>
      <c r="D35" s="22">
        <f>G34</f>
        <v>25</v>
      </c>
      <c r="E35" s="22">
        <f>ROUND(C34*$C$7,0)</f>
        <v>2</v>
      </c>
      <c r="F35" s="22">
        <f>ROUND(D35*$D$7,0)</f>
        <v>1</v>
      </c>
      <c r="G35" s="22">
        <f>D35+E35-F35</f>
        <v>26</v>
      </c>
      <c r="H35" s="22">
        <f>G35*$E$7</f>
        <v>11426.999999999998</v>
      </c>
      <c r="I35" s="22">
        <f>E35*'01_Assumptions'!C29*$K$7</f>
        <v>500</v>
      </c>
      <c r="J35" s="22">
        <f>H35+I35</f>
        <v>11926.999999999998</v>
      </c>
      <c r="K35" s="22">
        <f>G35*$F$7</f>
        <v>1763.0135536</v>
      </c>
      <c r="L35" s="22">
        <f>$G$7+IF(G35&gt;=$I$7,$H$7,0)+IF(G35&gt;=$J$7,$H$7,0)</f>
        <v>10800</v>
      </c>
      <c r="M35" s="34">
        <f>J35-K35-L35</f>
        <v>-636.0135536000016</v>
      </c>
      <c r="N35" s="22">
        <f>N34+M35</f>
        <v>-74762.3133616</v>
      </c>
      <c r="O35" s="22">
        <f>IF(M35&gt;0,1,0)</f>
        <v>0</v>
      </c>
      <c r="P35" s="22">
        <f>IF(N35&gt;=0,1,0)</f>
        <v>0</v>
      </c>
    </row>
    <row r="37">
      <c r="B37" s="3" t="inlineStr">
        <is>
          <t>Summary</t>
        </is>
      </c>
      <c r="D37" s="3" t="inlineStr">
        <is>
          <t>Value</t>
        </is>
      </c>
    </row>
    <row r="38">
      <c r="B38" s="5" t="inlineStr">
        <is>
          <t>Active properties, month 12</t>
        </is>
      </c>
      <c r="D38" s="7">
        <f>G23</f>
        <v>11</v>
      </c>
    </row>
    <row r="39">
      <c r="B39" s="5" t="inlineStr">
        <is>
          <t>Active properties, month 24</t>
        </is>
      </c>
      <c r="D39" s="7">
        <f>G35</f>
        <v>26</v>
      </c>
    </row>
    <row r="40">
      <c r="B40" s="5" t="inlineStr">
        <is>
          <t>MRR, month 12</t>
        </is>
      </c>
      <c r="D40" s="7">
        <f>H23</f>
        <v>4834.499999999999</v>
      </c>
    </row>
    <row r="41">
      <c r="B41" s="5" t="inlineStr">
        <is>
          <t>MRR, month 24</t>
        </is>
      </c>
      <c r="D41" s="7">
        <f>H35</f>
        <v>11426.999999999998</v>
      </c>
    </row>
    <row r="42">
      <c r="B42" s="5" t="inlineStr">
        <is>
          <t>ARR, month 24</t>
        </is>
      </c>
      <c r="D42" s="7">
        <f>H35*12</f>
        <v>137123.99999999997</v>
      </c>
    </row>
    <row r="43">
      <c r="B43" s="5" t="inlineStr">
        <is>
          <t>Total revenue, 24 months</t>
        </is>
      </c>
      <c r="D43" s="7">
        <f>SUM(J12:J35)</f>
        <v>142987</v>
      </c>
    </row>
    <row r="44">
      <c r="B44" s="5" t="inlineStr">
        <is>
          <t>Total COGS, 24 months</t>
        </is>
      </c>
      <c r="D44" s="7">
        <f>SUM(K12:K35)</f>
        <v>20749.3133616</v>
      </c>
    </row>
    <row r="45">
      <c r="B45" s="5" t="inlineStr">
        <is>
          <t>Total opex, 24 months</t>
        </is>
      </c>
      <c r="D45" s="7">
        <f>SUM(L12:L35)</f>
        <v>180000</v>
      </c>
    </row>
    <row r="46">
      <c r="B46" s="5" t="inlineStr">
        <is>
          <t>Gross profit, 24 months</t>
        </is>
      </c>
      <c r="D46" s="7">
        <f>SUM(J12:J35)-SUM(K12:K35)</f>
        <v>122237.6866384</v>
      </c>
    </row>
    <row r="47">
      <c r="B47" s="5" t="inlineStr">
        <is>
          <t>Net cash, 24 months</t>
        </is>
      </c>
      <c r="D47" s="7">
        <f>SUM(M12:M35)</f>
        <v>-57762.31336160003</v>
      </c>
    </row>
    <row r="48">
      <c r="B48" s="5" t="inlineStr">
        <is>
          <t>Peak funding need (min cumulative)</t>
        </is>
      </c>
      <c r="D48" s="7">
        <f>MIN(N12:N35)</f>
        <v>-80866.8349136</v>
      </c>
    </row>
    <row r="49">
      <c r="B49" s="5" t="inlineStr">
        <is>
          <t>First profitable month</t>
        </is>
      </c>
      <c r="D49" s="7" t="str">
        <f>IFERROR(MATCH(1,O12:O35,0),"beyond 24")</f>
        <v>17</v>
      </c>
    </row>
    <row r="50">
      <c r="B50" s="5" t="inlineStr">
        <is>
          <t>Cash recovered month</t>
        </is>
      </c>
      <c r="D50" s="7" t="str">
        <f>IFERROR(MATCH(1,P12:P35,0),"beyond 24")</f>
        <v>beyond 24</v>
      </c>
    </row>
    <row r="53">
      <c r="B53" s="2" t="inlineStr">
        <is>
          <t>Only the blue column is an input.</t>
        </is>
      </c>
    </row>
    <row r="55">
      <c r="B55" s="32" t="inlineStr">
        <is>
          <t>BASE — monthly model</t>
        </is>
      </c>
      <c r="C55" s="33" t="n"/>
      <c r="D55" s="33" t="n"/>
      <c r="E55" s="33" t="n"/>
      <c r="F55" s="33" t="n"/>
      <c r="G55" s="33" t="n"/>
      <c r="H55" s="33" t="n"/>
      <c r="I55" s="33" t="n"/>
      <c r="J55" s="33" t="n"/>
      <c r="K55" s="33" t="n"/>
      <c r="L55" s="33" t="n"/>
      <c r="M55" s="33" t="n"/>
      <c r="N55" s="33" t="n"/>
      <c r="O55" s="33" t="n"/>
      <c r="P55" s="33" t="n"/>
      <c r="Q55" s="33" t="n"/>
    </row>
    <row r="56" ht="40" customHeight="1">
      <c r="B56" s="15" t="inlineStr">
        <is>
          <t>Month</t>
        </is>
      </c>
      <c r="C56" s="15" t="inlineStr">
        <is>
          <t>New pilots</t>
        </is>
      </c>
      <c r="D56" s="15" t="inlineStr">
        <is>
          <t>Active properties BOP</t>
        </is>
      </c>
      <c r="E56" s="15" t="inlineStr">
        <is>
          <t>New paid</t>
        </is>
      </c>
      <c r="F56" s="15" t="inlineStr">
        <is>
          <t>Churned</t>
        </is>
      </c>
      <c r="G56" s="15" t="inlineStr">
        <is>
          <t>Active properties EOP</t>
        </is>
      </c>
      <c r="H56" s="15" t="inlineStr">
        <is>
          <t>Subscription MRR</t>
        </is>
      </c>
      <c r="I56" s="15" t="inlineStr">
        <is>
          <t>Setup cash</t>
        </is>
      </c>
      <c r="J56" s="15" t="inlineStr">
        <is>
          <t>Total revenue</t>
        </is>
      </c>
      <c r="K56" s="15" t="inlineStr">
        <is>
          <t>COGS</t>
        </is>
      </c>
      <c r="L56" s="15" t="inlineStr">
        <is>
          <t>Fixed opex</t>
        </is>
      </c>
      <c r="M56" s="15" t="inlineStr">
        <is>
          <t>Net cash flow</t>
        </is>
      </c>
      <c r="N56" s="15" t="inlineStr">
        <is>
          <t>Cumulative cash</t>
        </is>
      </c>
      <c r="O56" s="15" t="inlineStr">
        <is>
          <t>Profitable?</t>
        </is>
      </c>
      <c r="P56" s="15" t="inlineStr">
        <is>
          <t>Cash-positive?</t>
        </is>
      </c>
      <c r="Q56" s="15" t="inlineStr">
        <is>
          <t>Note</t>
        </is>
      </c>
    </row>
    <row r="57">
      <c r="B57" s="22" t="n">
        <v>1</v>
      </c>
      <c r="C57" s="14" t="n">
        <v>1</v>
      </c>
      <c r="D57" s="22" t="n">
        <v>0</v>
      </c>
      <c r="E57" s="22" t="n">
        <v>0</v>
      </c>
      <c r="F57" s="22" t="n">
        <v>0</v>
      </c>
      <c r="G57" s="22">
        <f>D57+E57-F57</f>
        <v>0</v>
      </c>
      <c r="H57" s="22">
        <f>G57*$E$8</f>
        <v>0</v>
      </c>
      <c r="I57" s="22">
        <f>E57*'01_Assumptions'!C29*$K$8</f>
        <v>0</v>
      </c>
      <c r="J57" s="22">
        <f>H57+I57</f>
        <v>0</v>
      </c>
      <c r="K57" s="22">
        <f>G57*$F$8</f>
        <v>0</v>
      </c>
      <c r="L57" s="22">
        <f>$G$8+IF(G57&gt;=$I$8,$H$8,0)+IF(G57&gt;=$J$8,$H$8,0)</f>
        <v>7200</v>
      </c>
      <c r="M57" s="34">
        <f>J57-K57-L57</f>
        <v>-7200</v>
      </c>
      <c r="N57" s="22">
        <f>-'01_Assumptions'!C40+M57</f>
        <v>-24200</v>
      </c>
      <c r="O57" s="22">
        <f>IF(M57&gt;0,1,0)</f>
        <v>0</v>
      </c>
      <c r="P57" s="22">
        <f>IF(N57&gt;=0,1,0)</f>
        <v>0</v>
      </c>
    </row>
    <row r="58">
      <c r="B58" s="22" t="n">
        <v>2</v>
      </c>
      <c r="C58" s="14" t="n">
        <v>1</v>
      </c>
      <c r="D58" s="22">
        <f>G57</f>
        <v>0</v>
      </c>
      <c r="E58" s="22">
        <f>ROUND(C57*$C$8,0)</f>
        <v>1</v>
      </c>
      <c r="F58" s="22">
        <f>ROUND(D58*$D$8,0)</f>
        <v>0</v>
      </c>
      <c r="G58" s="22">
        <f>D58+E58-F58</f>
        <v>1</v>
      </c>
      <c r="H58" s="22">
        <f>G58*$E$8</f>
        <v>439.49999999999994</v>
      </c>
      <c r="I58" s="22">
        <f>E58*'01_Assumptions'!C29*$K$8</f>
        <v>250</v>
      </c>
      <c r="J58" s="22">
        <f>H58+I58</f>
        <v>689.5</v>
      </c>
      <c r="K58" s="22">
        <f>G58*$F$8</f>
        <v>67.8082136</v>
      </c>
      <c r="L58" s="22">
        <f>$G$8+IF(G58&gt;=$I$8,$H$8,0)+IF(G58&gt;=$J$8,$H$8,0)</f>
        <v>7200</v>
      </c>
      <c r="M58" s="34">
        <f>J58-K58-L58</f>
        <v>-6578.3082136</v>
      </c>
      <c r="N58" s="22">
        <f>N57+M58</f>
        <v>-30778.3082136</v>
      </c>
      <c r="O58" s="22">
        <f>IF(M58&gt;0,1,0)</f>
        <v>0</v>
      </c>
      <c r="P58" s="22">
        <f>IF(N58&gt;=0,1,0)</f>
        <v>0</v>
      </c>
    </row>
    <row r="59">
      <c r="B59" s="22" t="n">
        <v>3</v>
      </c>
      <c r="C59" s="14" t="n">
        <v>2</v>
      </c>
      <c r="D59" s="22">
        <f>G58</f>
        <v>1</v>
      </c>
      <c r="E59" s="22">
        <f>ROUND(C58*$C$8,0)</f>
        <v>1</v>
      </c>
      <c r="F59" s="22">
        <f>ROUND(D59*$D$8,0)</f>
        <v>0</v>
      </c>
      <c r="G59" s="22">
        <f>D59+E59-F59</f>
        <v>2</v>
      </c>
      <c r="H59" s="22">
        <f>G59*$E$8</f>
        <v>878.9999999999999</v>
      </c>
      <c r="I59" s="22">
        <f>E59*'01_Assumptions'!C29*$K$8</f>
        <v>250</v>
      </c>
      <c r="J59" s="22">
        <f>H59+I59</f>
        <v>1129</v>
      </c>
      <c r="K59" s="22">
        <f>G59*$F$8</f>
        <v>135.6164272</v>
      </c>
      <c r="L59" s="22">
        <f>$G$8+IF(G59&gt;=$I$8,$H$8,0)+IF(G59&gt;=$J$8,$H$8,0)</f>
        <v>7200</v>
      </c>
      <c r="M59" s="34">
        <f>J59-K59-L59</f>
        <v>-6206.6164272</v>
      </c>
      <c r="N59" s="22">
        <f>N58+M59</f>
        <v>-36984.9246408</v>
      </c>
      <c r="O59" s="22">
        <f>IF(M59&gt;0,1,0)</f>
        <v>0</v>
      </c>
      <c r="P59" s="22">
        <f>IF(N59&gt;=0,1,0)</f>
        <v>0</v>
      </c>
    </row>
    <row r="60">
      <c r="B60" s="22" t="n">
        <v>4</v>
      </c>
      <c r="C60" s="14" t="n">
        <v>2</v>
      </c>
      <c r="D60" s="22">
        <f>G59</f>
        <v>2</v>
      </c>
      <c r="E60" s="22">
        <f>ROUND(C59*$C$8,0)</f>
        <v>1</v>
      </c>
      <c r="F60" s="22">
        <f>ROUND(D60*$D$8,0)</f>
        <v>0</v>
      </c>
      <c r="G60" s="22">
        <f>D60+E60-F60</f>
        <v>3</v>
      </c>
      <c r="H60" s="22">
        <f>G60*$E$8</f>
        <v>1318.4999999999998</v>
      </c>
      <c r="I60" s="22">
        <f>E60*'01_Assumptions'!C29*$K$8</f>
        <v>250</v>
      </c>
      <c r="J60" s="22">
        <f>H60+I60</f>
        <v>1568.4999999999998</v>
      </c>
      <c r="K60" s="22">
        <f>G60*$F$8</f>
        <v>203.42464080000002</v>
      </c>
      <c r="L60" s="22">
        <f>$G$8+IF(G60&gt;=$I$8,$H$8,0)+IF(G60&gt;=$J$8,$H$8,0)</f>
        <v>7200</v>
      </c>
      <c r="M60" s="34">
        <f>J60-K60-L60</f>
        <v>-5834.9246408</v>
      </c>
      <c r="N60" s="22">
        <f>N59+M60</f>
        <v>-42819.84928160001</v>
      </c>
      <c r="O60" s="22">
        <f>IF(M60&gt;0,1,0)</f>
        <v>0</v>
      </c>
      <c r="P60" s="22">
        <f>IF(N60&gt;=0,1,0)</f>
        <v>0</v>
      </c>
    </row>
    <row r="61">
      <c r="B61" s="22" t="n">
        <v>5</v>
      </c>
      <c r="C61" s="14" t="n">
        <v>3</v>
      </c>
      <c r="D61" s="22">
        <f>G60</f>
        <v>3</v>
      </c>
      <c r="E61" s="22">
        <f>ROUND(C60*$C$8,0)</f>
        <v>1</v>
      </c>
      <c r="F61" s="22">
        <f>ROUND(D61*$D$8,0)</f>
        <v>0</v>
      </c>
      <c r="G61" s="22">
        <f>D61+E61-F61</f>
        <v>4</v>
      </c>
      <c r="H61" s="22">
        <f>G61*$E$8</f>
        <v>1757.9999999999998</v>
      </c>
      <c r="I61" s="22">
        <f>E61*'01_Assumptions'!C29*$K$8</f>
        <v>250</v>
      </c>
      <c r="J61" s="22">
        <f>H61+I61</f>
        <v>2007.9999999999998</v>
      </c>
      <c r="K61" s="22">
        <f>G61*$F$8</f>
        <v>271.2328544</v>
      </c>
      <c r="L61" s="22">
        <f>$G$8+IF(G61&gt;=$I$8,$H$8,0)+IF(G61&gt;=$J$8,$H$8,0)</f>
        <v>7200</v>
      </c>
      <c r="M61" s="34">
        <f>J61-K61-L61</f>
        <v>-5463.2328544</v>
      </c>
      <c r="N61" s="22">
        <f>N60+M61</f>
        <v>-48283.082136000005</v>
      </c>
      <c r="O61" s="22">
        <f>IF(M61&gt;0,1,0)</f>
        <v>0</v>
      </c>
      <c r="P61" s="22">
        <f>IF(N61&gt;=0,1,0)</f>
        <v>0</v>
      </c>
    </row>
    <row r="62">
      <c r="B62" s="22" t="n">
        <v>6</v>
      </c>
      <c r="C62" s="14" t="n">
        <v>3</v>
      </c>
      <c r="D62" s="22">
        <f>G61</f>
        <v>4</v>
      </c>
      <c r="E62" s="22">
        <f>ROUND(C61*$C$8,0)</f>
        <v>2</v>
      </c>
      <c r="F62" s="22">
        <f>ROUND(D62*$D$8,0)</f>
        <v>0</v>
      </c>
      <c r="G62" s="22">
        <f>D62+E62-F62</f>
        <v>6</v>
      </c>
      <c r="H62" s="22">
        <f>G62*$E$8</f>
        <v>2636.9999999999995</v>
      </c>
      <c r="I62" s="22">
        <f>E62*'01_Assumptions'!C29*$K$8</f>
        <v>500</v>
      </c>
      <c r="J62" s="22">
        <f>H62+I62</f>
        <v>3136.9999999999995</v>
      </c>
      <c r="K62" s="22">
        <f>G62*$F$8</f>
        <v>406.84928160000004</v>
      </c>
      <c r="L62" s="22">
        <f>$G$8+IF(G62&gt;=$I$8,$H$8,0)+IF(G62&gt;=$J$8,$H$8,0)</f>
        <v>7200</v>
      </c>
      <c r="M62" s="34">
        <f>J62-K62-L62</f>
        <v>-4469.849281600001</v>
      </c>
      <c r="N62" s="22">
        <f>N61+M62</f>
        <v>-52752.931417600004</v>
      </c>
      <c r="O62" s="22">
        <f>IF(M62&gt;0,1,0)</f>
        <v>0</v>
      </c>
      <c r="P62" s="22">
        <f>IF(N62&gt;=0,1,0)</f>
        <v>0</v>
      </c>
    </row>
    <row r="63">
      <c r="B63" s="22" t="n">
        <v>7</v>
      </c>
      <c r="C63" s="14" t="n">
        <v>3</v>
      </c>
      <c r="D63" s="22">
        <f>G62</f>
        <v>6</v>
      </c>
      <c r="E63" s="22">
        <f>ROUND(C62*$C$8,0)</f>
        <v>2</v>
      </c>
      <c r="F63" s="22">
        <f>ROUND(D63*$D$8,0)</f>
        <v>0</v>
      </c>
      <c r="G63" s="22">
        <f>D63+E63-F63</f>
        <v>8</v>
      </c>
      <c r="H63" s="22">
        <f>G63*$E$8</f>
        <v>3515.9999999999995</v>
      </c>
      <c r="I63" s="22">
        <f>E63*'01_Assumptions'!C29*$K$8</f>
        <v>500</v>
      </c>
      <c r="J63" s="22">
        <f>H63+I63</f>
        <v>4015.9999999999995</v>
      </c>
      <c r="K63" s="22">
        <f>G63*$F$8</f>
        <v>542.4657088</v>
      </c>
      <c r="L63" s="22">
        <f>$G$8+IF(G63&gt;=$I$8,$H$8,0)+IF(G63&gt;=$J$8,$H$8,0)</f>
        <v>7200</v>
      </c>
      <c r="M63" s="34">
        <f>J63-K63-L63</f>
        <v>-3726.4657088000004</v>
      </c>
      <c r="N63" s="22">
        <f>N62+M63</f>
        <v>-56479.39712640001</v>
      </c>
      <c r="O63" s="22">
        <f>IF(M63&gt;0,1,0)</f>
        <v>0</v>
      </c>
      <c r="P63" s="22">
        <f>IF(N63&gt;=0,1,0)</f>
        <v>0</v>
      </c>
    </row>
    <row r="64">
      <c r="B64" s="22" t="n">
        <v>8</v>
      </c>
      <c r="C64" s="14" t="n">
        <v>4</v>
      </c>
      <c r="D64" s="22">
        <f>G63</f>
        <v>8</v>
      </c>
      <c r="E64" s="22">
        <f>ROUND(C63*$C$8,0)</f>
        <v>2</v>
      </c>
      <c r="F64" s="22">
        <f>ROUND(D64*$D$8,0)</f>
        <v>0</v>
      </c>
      <c r="G64" s="22">
        <f>D64+E64-F64</f>
        <v>10</v>
      </c>
      <c r="H64" s="22">
        <f>G64*$E$8</f>
        <v>4394.999999999999</v>
      </c>
      <c r="I64" s="22">
        <f>E64*'01_Assumptions'!C29*$K$8</f>
        <v>500</v>
      </c>
      <c r="J64" s="22">
        <f>H64+I64</f>
        <v>4894.999999999999</v>
      </c>
      <c r="K64" s="22">
        <f>G64*$F$8</f>
        <v>678.082136</v>
      </c>
      <c r="L64" s="22">
        <f>$G$8+IF(G64&gt;=$I$8,$H$8,0)+IF(G64&gt;=$J$8,$H$8,0)</f>
        <v>7200</v>
      </c>
      <c r="M64" s="34">
        <f>J64-K64-L64</f>
        <v>-2983.082136000001</v>
      </c>
      <c r="N64" s="22">
        <f>N63+M64</f>
        <v>-59462.47926240001</v>
      </c>
      <c r="O64" s="22">
        <f>IF(M64&gt;0,1,0)</f>
        <v>0</v>
      </c>
      <c r="P64" s="22">
        <f>IF(N64&gt;=0,1,0)</f>
        <v>0</v>
      </c>
    </row>
    <row r="65">
      <c r="B65" s="22" t="n">
        <v>9</v>
      </c>
      <c r="C65" s="14" t="n">
        <v>4</v>
      </c>
      <c r="D65" s="22">
        <f>G64</f>
        <v>10</v>
      </c>
      <c r="E65" s="22">
        <f>ROUND(C64*$C$8,0)</f>
        <v>2</v>
      </c>
      <c r="F65" s="22">
        <f>ROUND(D65*$D$8,0)</f>
        <v>0</v>
      </c>
      <c r="G65" s="22">
        <f>D65+E65-F65</f>
        <v>12</v>
      </c>
      <c r="H65" s="22">
        <f>G65*$E$8</f>
        <v>5273.999999999999</v>
      </c>
      <c r="I65" s="22">
        <f>E65*'01_Assumptions'!C29*$K$8</f>
        <v>500</v>
      </c>
      <c r="J65" s="22">
        <f>H65+I65</f>
        <v>5773.999999999999</v>
      </c>
      <c r="K65" s="22">
        <f>G65*$F$8</f>
        <v>813.6985632000001</v>
      </c>
      <c r="L65" s="22">
        <f>$G$8+IF(G65&gt;=$I$8,$H$8,0)+IF(G65&gt;=$J$8,$H$8,0)</f>
        <v>7200</v>
      </c>
      <c r="M65" s="34">
        <f>J65-K65-L65</f>
        <v>-2239.6985632000014</v>
      </c>
      <c r="N65" s="22">
        <f>N64+M65</f>
        <v>-61702.17782560001</v>
      </c>
      <c r="O65" s="22">
        <f>IF(M65&gt;0,1,0)</f>
        <v>0</v>
      </c>
      <c r="P65" s="22">
        <f>IF(N65&gt;=0,1,0)</f>
        <v>0</v>
      </c>
    </row>
    <row r="66">
      <c r="B66" s="22" t="n">
        <v>10</v>
      </c>
      <c r="C66" s="14" t="n">
        <v>4</v>
      </c>
      <c r="D66" s="22">
        <f>G65</f>
        <v>12</v>
      </c>
      <c r="E66" s="22">
        <f>ROUND(C65*$C$8,0)</f>
        <v>2</v>
      </c>
      <c r="F66" s="22">
        <f>ROUND(D66*$D$8,0)</f>
        <v>0</v>
      </c>
      <c r="G66" s="22">
        <f>D66+E66-F66</f>
        <v>14</v>
      </c>
      <c r="H66" s="22">
        <f>G66*$E$8</f>
        <v>6152.999999999999</v>
      </c>
      <c r="I66" s="22">
        <f>E66*'01_Assumptions'!C29*$K$8</f>
        <v>500</v>
      </c>
      <c r="J66" s="22">
        <f>H66+I66</f>
        <v>6652.999999999999</v>
      </c>
      <c r="K66" s="22">
        <f>G66*$F$8</f>
        <v>949.3149904</v>
      </c>
      <c r="L66" s="22">
        <f>$G$8+IF(G66&gt;=$I$8,$H$8,0)+IF(G66&gt;=$J$8,$H$8,0)</f>
        <v>7200</v>
      </c>
      <c r="M66" s="34">
        <f>J66-K66-L66</f>
        <v>-1496.314990400001</v>
      </c>
      <c r="N66" s="22">
        <f>N65+M66</f>
        <v>-63198.49281600001</v>
      </c>
      <c r="O66" s="22">
        <f>IF(M66&gt;0,1,0)</f>
        <v>0</v>
      </c>
      <c r="P66" s="22">
        <f>IF(N66&gt;=0,1,0)</f>
        <v>0</v>
      </c>
    </row>
    <row r="67">
      <c r="B67" s="22" t="n">
        <v>11</v>
      </c>
      <c r="C67" s="14" t="n">
        <v>4</v>
      </c>
      <c r="D67" s="22">
        <f>G66</f>
        <v>14</v>
      </c>
      <c r="E67" s="22">
        <f>ROUND(C66*$C$8,0)</f>
        <v>2</v>
      </c>
      <c r="F67" s="22">
        <f>ROUND(D67*$D$8,0)</f>
        <v>0</v>
      </c>
      <c r="G67" s="22">
        <f>D67+E67-F67</f>
        <v>16</v>
      </c>
      <c r="H67" s="22">
        <f>G67*$E$8</f>
        <v>7031.999999999999</v>
      </c>
      <c r="I67" s="22">
        <f>E67*'01_Assumptions'!C29*$K$8</f>
        <v>500</v>
      </c>
      <c r="J67" s="22">
        <f>H67+I67</f>
        <v>7531.999999999999</v>
      </c>
      <c r="K67" s="22">
        <f>G67*$F$8</f>
        <v>1084.9314176</v>
      </c>
      <c r="L67" s="22">
        <f>$G$8+IF(G67&gt;=$I$8,$H$8,0)+IF(G67&gt;=$J$8,$H$8,0)</f>
        <v>7200</v>
      </c>
      <c r="M67" s="34">
        <f>J67-K67-L67</f>
        <v>-752.9314176000007</v>
      </c>
      <c r="N67" s="22">
        <f>N66+M67</f>
        <v>-63951.42423360002</v>
      </c>
      <c r="O67" s="22">
        <f>IF(M67&gt;0,1,0)</f>
        <v>0</v>
      </c>
      <c r="P67" s="22">
        <f>IF(N67&gt;=0,1,0)</f>
        <v>0</v>
      </c>
    </row>
    <row r="68">
      <c r="B68" s="22" t="n">
        <v>12</v>
      </c>
      <c r="C68" s="14" t="n">
        <v>4</v>
      </c>
      <c r="D68" s="22">
        <f>G67</f>
        <v>16</v>
      </c>
      <c r="E68" s="22">
        <f>ROUND(C67*$C$8,0)</f>
        <v>2</v>
      </c>
      <c r="F68" s="22">
        <f>ROUND(D68*$D$8,0)</f>
        <v>0</v>
      </c>
      <c r="G68" s="22">
        <f>D68+E68-F68</f>
        <v>18</v>
      </c>
      <c r="H68" s="22">
        <f>G68*$E$8</f>
        <v>7910.999999999999</v>
      </c>
      <c r="I68" s="22">
        <f>E68*'01_Assumptions'!C29*$K$8</f>
        <v>500</v>
      </c>
      <c r="J68" s="22">
        <f>H68+I68</f>
        <v>8411</v>
      </c>
      <c r="K68" s="22">
        <f>G68*$F$8</f>
        <v>1220.5478448000001</v>
      </c>
      <c r="L68" s="22">
        <f>$G$8+IF(G68&gt;=$I$8,$H$8,0)+IF(G68&gt;=$J$8,$H$8,0)</f>
        <v>7200</v>
      </c>
      <c r="M68" s="34">
        <f>J68-K68-L68</f>
        <v>-9.547844800000348</v>
      </c>
      <c r="N68" s="22">
        <f>N67+M68</f>
        <v>-63960.97207840002</v>
      </c>
      <c r="O68" s="22">
        <f>IF(M68&gt;0,1,0)</f>
        <v>0</v>
      </c>
      <c r="P68" s="22">
        <f>IF(N68&gt;=0,1,0)</f>
        <v>0</v>
      </c>
    </row>
    <row r="69">
      <c r="B69" s="22" t="n">
        <v>13</v>
      </c>
      <c r="C69" s="14" t="n">
        <v>4</v>
      </c>
      <c r="D69" s="22">
        <f>G68</f>
        <v>18</v>
      </c>
      <c r="E69" s="22">
        <f>ROUND(C68*$C$8,0)</f>
        <v>2</v>
      </c>
      <c r="F69" s="22">
        <f>ROUND(D69*$D$8,0)</f>
        <v>0</v>
      </c>
      <c r="G69" s="22">
        <f>D69+E69-F69</f>
        <v>20</v>
      </c>
      <c r="H69" s="22">
        <f>G69*$E$8</f>
        <v>8789.999999999998</v>
      </c>
      <c r="I69" s="22">
        <f>E69*'01_Assumptions'!C29*$K$8</f>
        <v>500</v>
      </c>
      <c r="J69" s="22">
        <f>H69+I69</f>
        <v>9289.999999999998</v>
      </c>
      <c r="K69" s="22">
        <f>G69*$F$8</f>
        <v>1356.164272</v>
      </c>
      <c r="L69" s="22">
        <f>$G$8+IF(G69&gt;=$I$8,$H$8,0)+IF(G69&gt;=$J$8,$H$8,0)</f>
        <v>7200</v>
      </c>
      <c r="M69" s="34">
        <f>J69-K69-L69</f>
        <v>733.8357279999982</v>
      </c>
      <c r="N69" s="22">
        <f>N68+M69</f>
        <v>-63227.13635040002</v>
      </c>
      <c r="O69" s="22">
        <f>IF(M69&gt;0,1,0)</f>
        <v>1</v>
      </c>
      <c r="P69" s="22">
        <f>IF(N69&gt;=0,1,0)</f>
        <v>0</v>
      </c>
    </row>
    <row r="70">
      <c r="B70" s="22" t="n">
        <v>14</v>
      </c>
      <c r="C70" s="14" t="n">
        <v>4</v>
      </c>
      <c r="D70" s="22">
        <f>G69</f>
        <v>20</v>
      </c>
      <c r="E70" s="22">
        <f>ROUND(C69*$C$8,0)</f>
        <v>2</v>
      </c>
      <c r="F70" s="22">
        <f>ROUND(D70*$D$8,0)</f>
        <v>1</v>
      </c>
      <c r="G70" s="22">
        <f>D70+E70-F70</f>
        <v>21</v>
      </c>
      <c r="H70" s="22">
        <f>G70*$E$8</f>
        <v>9229.499999999998</v>
      </c>
      <c r="I70" s="22">
        <f>E70*'01_Assumptions'!C29*$K$8</f>
        <v>500</v>
      </c>
      <c r="J70" s="22">
        <f>H70+I70</f>
        <v>9729.499999999998</v>
      </c>
      <c r="K70" s="22">
        <f>G70*$F$8</f>
        <v>1423.9724856</v>
      </c>
      <c r="L70" s="22">
        <f>$G$8+IF(G70&gt;=$I$8,$H$8,0)+IF(G70&gt;=$J$8,$H$8,0)</f>
        <v>7200</v>
      </c>
      <c r="M70" s="34">
        <f>J70-K70-L70</f>
        <v>1105.5275143999988</v>
      </c>
      <c r="N70" s="22">
        <f>N69+M70</f>
        <v>-62121.60883600002</v>
      </c>
      <c r="O70" s="22">
        <f>IF(M70&gt;0,1,0)</f>
        <v>1</v>
      </c>
      <c r="P70" s="22">
        <f>IF(N70&gt;=0,1,0)</f>
        <v>0</v>
      </c>
    </row>
    <row r="71">
      <c r="B71" s="22" t="n">
        <v>15</v>
      </c>
      <c r="C71" s="14" t="n">
        <v>4</v>
      </c>
      <c r="D71" s="22">
        <f>G70</f>
        <v>21</v>
      </c>
      <c r="E71" s="22">
        <f>ROUND(C70*$C$8,0)</f>
        <v>2</v>
      </c>
      <c r="F71" s="22">
        <f>ROUND(D71*$D$8,0)</f>
        <v>1</v>
      </c>
      <c r="G71" s="22">
        <f>D71+E71-F71</f>
        <v>22</v>
      </c>
      <c r="H71" s="22">
        <f>G71*$E$8</f>
        <v>9668.999999999998</v>
      </c>
      <c r="I71" s="22">
        <f>E71*'01_Assumptions'!C29*$K$8</f>
        <v>500</v>
      </c>
      <c r="J71" s="22">
        <f>H71+I71</f>
        <v>10168.999999999998</v>
      </c>
      <c r="K71" s="22">
        <f>G71*$F$8</f>
        <v>1491.7806992</v>
      </c>
      <c r="L71" s="22">
        <f>$G$8+IF(G71&gt;=$I$8,$H$8,0)+IF(G71&gt;=$J$8,$H$8,0)</f>
        <v>7200</v>
      </c>
      <c r="M71" s="34">
        <f>J71-K71-L71</f>
        <v>1477.2193007999977</v>
      </c>
      <c r="N71" s="22">
        <f>N70+M71</f>
        <v>-60644.389535200025</v>
      </c>
      <c r="O71" s="22">
        <f>IF(M71&gt;0,1,0)</f>
        <v>1</v>
      </c>
      <c r="P71" s="22">
        <f>IF(N71&gt;=0,1,0)</f>
        <v>0</v>
      </c>
    </row>
    <row r="72">
      <c r="B72" s="22" t="n">
        <v>16</v>
      </c>
      <c r="C72" s="14" t="n">
        <v>4</v>
      </c>
      <c r="D72" s="22">
        <f>G71</f>
        <v>22</v>
      </c>
      <c r="E72" s="22">
        <f>ROUND(C71*$C$8,0)</f>
        <v>2</v>
      </c>
      <c r="F72" s="22">
        <f>ROUND(D72*$D$8,0)</f>
        <v>1</v>
      </c>
      <c r="G72" s="22">
        <f>D72+E72-F72</f>
        <v>23</v>
      </c>
      <c r="H72" s="22">
        <f>G72*$E$8</f>
        <v>10108.499999999998</v>
      </c>
      <c r="I72" s="22">
        <f>E72*'01_Assumptions'!C29*$K$8</f>
        <v>500</v>
      </c>
      <c r="J72" s="22">
        <f>H72+I72</f>
        <v>10608.499999999998</v>
      </c>
      <c r="K72" s="22">
        <f>G72*$F$8</f>
        <v>1559.5889128000001</v>
      </c>
      <c r="L72" s="22">
        <f>$G$8+IF(G72&gt;=$I$8,$H$8,0)+IF(G72&gt;=$J$8,$H$8,0)</f>
        <v>7200</v>
      </c>
      <c r="M72" s="34">
        <f>J72-K72-L72</f>
        <v>1848.9110871999983</v>
      </c>
      <c r="N72" s="22">
        <f>N71+M72</f>
        <v>-58795.47844800002</v>
      </c>
      <c r="O72" s="22">
        <f>IF(M72&gt;0,1,0)</f>
        <v>1</v>
      </c>
      <c r="P72" s="22">
        <f>IF(N72&gt;=0,1,0)</f>
        <v>0</v>
      </c>
    </row>
    <row r="73">
      <c r="B73" s="22" t="n">
        <v>17</v>
      </c>
      <c r="C73" s="14" t="n">
        <v>4</v>
      </c>
      <c r="D73" s="22">
        <f>G72</f>
        <v>23</v>
      </c>
      <c r="E73" s="22">
        <f>ROUND(C72*$C$8,0)</f>
        <v>2</v>
      </c>
      <c r="F73" s="22">
        <f>ROUND(D73*$D$8,0)</f>
        <v>1</v>
      </c>
      <c r="G73" s="22">
        <f>D73+E73-F73</f>
        <v>24</v>
      </c>
      <c r="H73" s="22">
        <f>G73*$E$8</f>
        <v>10547.999999999998</v>
      </c>
      <c r="I73" s="22">
        <f>E73*'01_Assumptions'!C29*$K$8</f>
        <v>500</v>
      </c>
      <c r="J73" s="22">
        <f>H73+I73</f>
        <v>11047.999999999998</v>
      </c>
      <c r="K73" s="22">
        <f>G73*$F$8</f>
        <v>1627.3971264000002</v>
      </c>
      <c r="L73" s="22">
        <f>$G$8+IF(G73&gt;=$I$8,$H$8,0)+IF(G73&gt;=$J$8,$H$8,0)</f>
        <v>7200</v>
      </c>
      <c r="M73" s="34">
        <f>J73-K73-L73</f>
        <v>2220.602873599997</v>
      </c>
      <c r="N73" s="22">
        <f>N72+M73</f>
        <v>-56574.87557440002</v>
      </c>
      <c r="O73" s="22">
        <f>IF(M73&gt;0,1,0)</f>
        <v>1</v>
      </c>
      <c r="P73" s="22">
        <f>IF(N73&gt;=0,1,0)</f>
        <v>0</v>
      </c>
    </row>
    <row r="74">
      <c r="B74" s="22" t="n">
        <v>18</v>
      </c>
      <c r="C74" s="14" t="n">
        <v>4</v>
      </c>
      <c r="D74" s="22">
        <f>G73</f>
        <v>24</v>
      </c>
      <c r="E74" s="22">
        <f>ROUND(C73*$C$8,0)</f>
        <v>2</v>
      </c>
      <c r="F74" s="22">
        <f>ROUND(D74*$D$8,0)</f>
        <v>1</v>
      </c>
      <c r="G74" s="22">
        <f>D74+E74-F74</f>
        <v>25</v>
      </c>
      <c r="H74" s="22">
        <f>G74*$E$8</f>
        <v>10987.499999999998</v>
      </c>
      <c r="I74" s="22">
        <f>E74*'01_Assumptions'!C29*$K$8</f>
        <v>500</v>
      </c>
      <c r="J74" s="22">
        <f>H74+I74</f>
        <v>11487.499999999998</v>
      </c>
      <c r="K74" s="22">
        <f>G74*$F$8</f>
        <v>1695.20534</v>
      </c>
      <c r="L74" s="22">
        <f>$G$8+IF(G74&gt;=$I$8,$H$8,0)+IF(G74&gt;=$J$8,$H$8,0)</f>
        <v>10800</v>
      </c>
      <c r="M74" s="34">
        <f>J74-K74-L74</f>
        <v>-1007.7053400000023</v>
      </c>
      <c r="N74" s="22">
        <f>N73+M74</f>
        <v>-57582.58091440002</v>
      </c>
      <c r="O74" s="22">
        <f>IF(M74&gt;0,1,0)</f>
        <v>0</v>
      </c>
      <c r="P74" s="22">
        <f>IF(N74&gt;=0,1,0)</f>
        <v>0</v>
      </c>
    </row>
    <row r="75">
      <c r="B75" s="22" t="n">
        <v>19</v>
      </c>
      <c r="C75" s="14" t="n">
        <v>4</v>
      </c>
      <c r="D75" s="22">
        <f>G74</f>
        <v>25</v>
      </c>
      <c r="E75" s="22">
        <f>ROUND(C74*$C$8,0)</f>
        <v>2</v>
      </c>
      <c r="F75" s="22">
        <f>ROUND(D75*$D$8,0)</f>
        <v>1</v>
      </c>
      <c r="G75" s="22">
        <f>D75+E75-F75</f>
        <v>26</v>
      </c>
      <c r="H75" s="22">
        <f>G75*$E$8</f>
        <v>11426.999999999998</v>
      </c>
      <c r="I75" s="22">
        <f>E75*'01_Assumptions'!C29*$K$8</f>
        <v>500</v>
      </c>
      <c r="J75" s="22">
        <f>H75+I75</f>
        <v>11926.999999999998</v>
      </c>
      <c r="K75" s="22">
        <f>G75*$F$8</f>
        <v>1763.0135536</v>
      </c>
      <c r="L75" s="22">
        <f>$G$8+IF(G75&gt;=$I$8,$H$8,0)+IF(G75&gt;=$J$8,$H$8,0)</f>
        <v>10800</v>
      </c>
      <c r="M75" s="34">
        <f>J75-K75-L75</f>
        <v>-636.0135536000016</v>
      </c>
      <c r="N75" s="22">
        <f>N74+M75</f>
        <v>-58218.594468000025</v>
      </c>
      <c r="O75" s="22">
        <f>IF(M75&gt;0,1,0)</f>
        <v>0</v>
      </c>
      <c r="P75" s="22">
        <f>IF(N75&gt;=0,1,0)</f>
        <v>0</v>
      </c>
    </row>
    <row r="76">
      <c r="B76" s="22" t="n">
        <v>20</v>
      </c>
      <c r="C76" s="14" t="n">
        <v>4</v>
      </c>
      <c r="D76" s="22">
        <f>G75</f>
        <v>26</v>
      </c>
      <c r="E76" s="22">
        <f>ROUND(C75*$C$8,0)</f>
        <v>2</v>
      </c>
      <c r="F76" s="22">
        <f>ROUND(D76*$D$8,0)</f>
        <v>1</v>
      </c>
      <c r="G76" s="22">
        <f>D76+E76-F76</f>
        <v>27</v>
      </c>
      <c r="H76" s="22">
        <f>G76*$E$8</f>
        <v>11866.499999999998</v>
      </c>
      <c r="I76" s="22">
        <f>E76*'01_Assumptions'!C29*$K$8</f>
        <v>500</v>
      </c>
      <c r="J76" s="22">
        <f>H76+I76</f>
        <v>12366.499999999998</v>
      </c>
      <c r="K76" s="22">
        <f>G76*$F$8</f>
        <v>1830.8217672</v>
      </c>
      <c r="L76" s="22">
        <f>$G$8+IF(G76&gt;=$I$8,$H$8,0)+IF(G76&gt;=$J$8,$H$8,0)</f>
        <v>10800</v>
      </c>
      <c r="M76" s="34">
        <f>J76-K76-L76</f>
        <v>-264.3217672000028</v>
      </c>
      <c r="N76" s="22">
        <f>N75+M76</f>
        <v>-58482.91623520003</v>
      </c>
      <c r="O76" s="22">
        <f>IF(M76&gt;0,1,0)</f>
        <v>0</v>
      </c>
      <c r="P76" s="22">
        <f>IF(N76&gt;=0,1,0)</f>
        <v>0</v>
      </c>
    </row>
    <row r="77">
      <c r="B77" s="22" t="n">
        <v>21</v>
      </c>
      <c r="C77" s="14" t="n">
        <v>4</v>
      </c>
      <c r="D77" s="22">
        <f>G76</f>
        <v>27</v>
      </c>
      <c r="E77" s="22">
        <f>ROUND(C76*$C$8,0)</f>
        <v>2</v>
      </c>
      <c r="F77" s="22">
        <f>ROUND(D77*$D$8,0)</f>
        <v>1</v>
      </c>
      <c r="G77" s="22">
        <f>D77+E77-F77</f>
        <v>28</v>
      </c>
      <c r="H77" s="22">
        <f>G77*$E$8</f>
        <v>12305.999999999998</v>
      </c>
      <c r="I77" s="22">
        <f>E77*'01_Assumptions'!C29*$K$8</f>
        <v>500</v>
      </c>
      <c r="J77" s="22">
        <f>H77+I77</f>
        <v>12805.999999999998</v>
      </c>
      <c r="K77" s="22">
        <f>G77*$F$8</f>
        <v>1898.6299808</v>
      </c>
      <c r="L77" s="22">
        <f>$G$8+IF(G77&gt;=$I$8,$H$8,0)+IF(G77&gt;=$J$8,$H$8,0)</f>
        <v>10800</v>
      </c>
      <c r="M77" s="34">
        <f>J77-K77-L77</f>
        <v>107.37001919999784</v>
      </c>
      <c r="N77" s="22">
        <f>N76+M77</f>
        <v>-58375.54621600003</v>
      </c>
      <c r="O77" s="22">
        <f>IF(M77&gt;0,1,0)</f>
        <v>1</v>
      </c>
      <c r="P77" s="22">
        <f>IF(N77&gt;=0,1,0)</f>
        <v>0</v>
      </c>
    </row>
    <row r="78">
      <c r="B78" s="22" t="n">
        <v>22</v>
      </c>
      <c r="C78" s="14" t="n">
        <v>4</v>
      </c>
      <c r="D78" s="22">
        <f>G77</f>
        <v>28</v>
      </c>
      <c r="E78" s="22">
        <f>ROUND(C77*$C$8,0)</f>
        <v>2</v>
      </c>
      <c r="F78" s="22">
        <f>ROUND(D78*$D$8,0)</f>
        <v>1</v>
      </c>
      <c r="G78" s="22">
        <f>D78+E78-F78</f>
        <v>29</v>
      </c>
      <c r="H78" s="22">
        <f>G78*$E$8</f>
        <v>12745.499999999998</v>
      </c>
      <c r="I78" s="22">
        <f>E78*'01_Assumptions'!C29*$K$8</f>
        <v>500</v>
      </c>
      <c r="J78" s="22">
        <f>H78+I78</f>
        <v>13245.499999999998</v>
      </c>
      <c r="K78" s="22">
        <f>G78*$F$8</f>
        <v>1966.4381944000002</v>
      </c>
      <c r="L78" s="22">
        <f>$G$8+IF(G78&gt;=$I$8,$H$8,0)+IF(G78&gt;=$J$8,$H$8,0)</f>
        <v>10800</v>
      </c>
      <c r="M78" s="34">
        <f>J78-K78-L78</f>
        <v>479.0618055999985</v>
      </c>
      <c r="N78" s="22">
        <f>N77+M78</f>
        <v>-57896.48441040004</v>
      </c>
      <c r="O78" s="22">
        <f>IF(M78&gt;0,1,0)</f>
        <v>1</v>
      </c>
      <c r="P78" s="22">
        <f>IF(N78&gt;=0,1,0)</f>
        <v>0</v>
      </c>
    </row>
    <row r="79">
      <c r="B79" s="22" t="n">
        <v>23</v>
      </c>
      <c r="C79" s="14" t="n">
        <v>4</v>
      </c>
      <c r="D79" s="22">
        <f>G78</f>
        <v>29</v>
      </c>
      <c r="E79" s="22">
        <f>ROUND(C78*$C$8,0)</f>
        <v>2</v>
      </c>
      <c r="F79" s="22">
        <f>ROUND(D79*$D$8,0)</f>
        <v>1</v>
      </c>
      <c r="G79" s="22">
        <f>D79+E79-F79</f>
        <v>30</v>
      </c>
      <c r="H79" s="22">
        <f>G79*$E$8</f>
        <v>13184.999999999998</v>
      </c>
      <c r="I79" s="22">
        <f>E79*'01_Assumptions'!C29*$K$8</f>
        <v>500</v>
      </c>
      <c r="J79" s="22">
        <f>H79+I79</f>
        <v>13684.999999999998</v>
      </c>
      <c r="K79" s="22">
        <f>G79*$F$8</f>
        <v>2034.246408</v>
      </c>
      <c r="L79" s="22">
        <f>$G$8+IF(G79&gt;=$I$8,$H$8,0)+IF(G79&gt;=$J$8,$H$8,0)</f>
        <v>10800</v>
      </c>
      <c r="M79" s="34">
        <f>J79-K79-L79</f>
        <v>850.7535919999973</v>
      </c>
      <c r="N79" s="22">
        <f>N78+M79</f>
        <v>-57045.73081840004</v>
      </c>
      <c r="O79" s="22">
        <f>IF(M79&gt;0,1,0)</f>
        <v>1</v>
      </c>
      <c r="P79" s="22">
        <f>IF(N79&gt;=0,1,0)</f>
        <v>0</v>
      </c>
    </row>
    <row r="80">
      <c r="B80" s="22" t="n">
        <v>24</v>
      </c>
      <c r="C80" s="14" t="n">
        <v>4</v>
      </c>
      <c r="D80" s="22">
        <f>G79</f>
        <v>30</v>
      </c>
      <c r="E80" s="22">
        <f>ROUND(C79*$C$8,0)</f>
        <v>2</v>
      </c>
      <c r="F80" s="22">
        <f>ROUND(D80*$D$8,0)</f>
        <v>1</v>
      </c>
      <c r="G80" s="22">
        <f>D80+E80-F80</f>
        <v>31</v>
      </c>
      <c r="H80" s="22">
        <f>G80*$E$8</f>
        <v>13624.499999999998</v>
      </c>
      <c r="I80" s="22">
        <f>E80*'01_Assumptions'!C29*$K$8</f>
        <v>500</v>
      </c>
      <c r="J80" s="22">
        <f>H80+I80</f>
        <v>14124.499999999998</v>
      </c>
      <c r="K80" s="22">
        <f>G80*$F$8</f>
        <v>2102.0546216000002</v>
      </c>
      <c r="L80" s="22">
        <f>$G$8+IF(G80&gt;=$I$8,$H$8,0)+IF(G80&gt;=$J$8,$H$8,0)</f>
        <v>10800</v>
      </c>
      <c r="M80" s="34">
        <f>J80-K80-L80</f>
        <v>1222.445378399998</v>
      </c>
      <c r="N80" s="22">
        <f>N79+M80</f>
        <v>-55823.28544000004</v>
      </c>
      <c r="O80" s="22">
        <f>IF(M80&gt;0,1,0)</f>
        <v>1</v>
      </c>
      <c r="P80" s="22">
        <f>IF(N80&gt;=0,1,0)</f>
        <v>0</v>
      </c>
    </row>
    <row r="82">
      <c r="B82" s="3" t="inlineStr">
        <is>
          <t>Summary</t>
        </is>
      </c>
      <c r="D82" s="3" t="inlineStr">
        <is>
          <t>Value</t>
        </is>
      </c>
    </row>
    <row r="83">
      <c r="B83" s="5" t="inlineStr">
        <is>
          <t>Active properties, month 12</t>
        </is>
      </c>
      <c r="D83" s="7">
        <f>G68</f>
        <v>18</v>
      </c>
    </row>
    <row r="84">
      <c r="B84" s="5" t="inlineStr">
        <is>
          <t>Active properties, month 24</t>
        </is>
      </c>
      <c r="D84" s="7">
        <f>G80</f>
        <v>31</v>
      </c>
    </row>
    <row r="85">
      <c r="B85" s="5" t="inlineStr">
        <is>
          <t>MRR, month 12</t>
        </is>
      </c>
      <c r="D85" s="7">
        <f>H68</f>
        <v>7910.999999999999</v>
      </c>
    </row>
    <row r="86">
      <c r="B86" s="5" t="inlineStr">
        <is>
          <t>MRR, month 24</t>
        </is>
      </c>
      <c r="D86" s="7">
        <f>H80</f>
        <v>13624.499999999998</v>
      </c>
    </row>
    <row r="87">
      <c r="B87" s="5" t="inlineStr">
        <is>
          <t>ARR, month 24</t>
        </is>
      </c>
      <c r="D87" s="7">
        <f>H80*12</f>
        <v>163493.99999999997</v>
      </c>
    </row>
    <row r="88">
      <c r="B88" s="5" t="inlineStr">
        <is>
          <t>Total revenue, 24 months</t>
        </is>
      </c>
      <c r="D88" s="7">
        <f>SUM(J57:J80)</f>
        <v>186299.99999999997</v>
      </c>
    </row>
    <row r="89">
      <c r="B89" s="5" t="inlineStr">
        <is>
          <t>Total COGS, 24 months</t>
        </is>
      </c>
      <c r="D89" s="7">
        <f>SUM(K57:K80)</f>
        <v>27123.285440000003</v>
      </c>
    </row>
    <row r="90">
      <c r="B90" s="5" t="inlineStr">
        <is>
          <t>Total opex, 24 months</t>
        </is>
      </c>
      <c r="D90" s="7">
        <f>SUM(L57:L80)</f>
        <v>198000</v>
      </c>
    </row>
    <row r="91">
      <c r="B91" s="5" t="inlineStr">
        <is>
          <t>Gross profit, 24 months</t>
        </is>
      </c>
      <c r="D91" s="7">
        <f>SUM(J57:J80)-SUM(K57:K80)</f>
        <v>159176.71455999996</v>
      </c>
    </row>
    <row r="92">
      <c r="B92" s="5" t="inlineStr">
        <is>
          <t>Net cash, 24 months</t>
        </is>
      </c>
      <c r="D92" s="7">
        <f>SUM(M57:M80)</f>
        <v>-38823.28544000003</v>
      </c>
    </row>
    <row r="93">
      <c r="B93" s="5" t="inlineStr">
        <is>
          <t>Peak funding need (min cumulative)</t>
        </is>
      </c>
      <c r="D93" s="7">
        <f>MIN(N57:N80)</f>
        <v>-63960.97207840002</v>
      </c>
    </row>
    <row r="94">
      <c r="B94" s="5" t="inlineStr">
        <is>
          <t>First profitable month</t>
        </is>
      </c>
      <c r="D94" s="7" t="str">
        <f>IFERROR(MATCH(1,O57:O80,0),"beyond 24")</f>
        <v>13</v>
      </c>
    </row>
    <row r="95">
      <c r="B95" s="5" t="inlineStr">
        <is>
          <t>Cash recovered month</t>
        </is>
      </c>
      <c r="D95" s="7" t="str">
        <f>IFERROR(MATCH(1,P57:P80,0),"beyond 24")</f>
        <v>beyond 24</v>
      </c>
    </row>
    <row r="98">
      <c r="B98" s="2" t="inlineStr">
        <is>
          <t>Only the blue column is an input.</t>
        </is>
      </c>
    </row>
    <row r="100">
      <c r="B100" s="32" t="inlineStr">
        <is>
          <t>AGGRESSIVE — monthly model</t>
        </is>
      </c>
      <c r="C100" s="33" t="n"/>
      <c r="D100" s="33" t="n"/>
      <c r="E100" s="33" t="n"/>
      <c r="F100" s="33" t="n"/>
      <c r="G100" s="33" t="n"/>
      <c r="H100" s="33" t="n"/>
      <c r="I100" s="33" t="n"/>
      <c r="J100" s="33" t="n"/>
      <c r="K100" s="33" t="n"/>
      <c r="L100" s="33" t="n"/>
      <c r="M100" s="33" t="n"/>
      <c r="N100" s="33" t="n"/>
      <c r="O100" s="33" t="n"/>
      <c r="P100" s="33" t="n"/>
      <c r="Q100" s="33" t="n"/>
    </row>
    <row r="101" ht="40" customHeight="1">
      <c r="B101" s="15" t="inlineStr">
        <is>
          <t>Month</t>
        </is>
      </c>
      <c r="C101" s="15" t="inlineStr">
        <is>
          <t>New pilots</t>
        </is>
      </c>
      <c r="D101" s="15" t="inlineStr">
        <is>
          <t>Active properties BOP</t>
        </is>
      </c>
      <c r="E101" s="15" t="inlineStr">
        <is>
          <t>New paid</t>
        </is>
      </c>
      <c r="F101" s="15" t="inlineStr">
        <is>
          <t>Churned</t>
        </is>
      </c>
      <c r="G101" s="15" t="inlineStr">
        <is>
          <t>Active properties EOP</t>
        </is>
      </c>
      <c r="H101" s="15" t="inlineStr">
        <is>
          <t>Subscription MRR</t>
        </is>
      </c>
      <c r="I101" s="15" t="inlineStr">
        <is>
          <t>Setup cash</t>
        </is>
      </c>
      <c r="J101" s="15" t="inlineStr">
        <is>
          <t>Total revenue</t>
        </is>
      </c>
      <c r="K101" s="15" t="inlineStr">
        <is>
          <t>COGS</t>
        </is>
      </c>
      <c r="L101" s="15" t="inlineStr">
        <is>
          <t>Fixed opex</t>
        </is>
      </c>
      <c r="M101" s="15" t="inlineStr">
        <is>
          <t>Net cash flow</t>
        </is>
      </c>
      <c r="N101" s="15" t="inlineStr">
        <is>
          <t>Cumulative cash</t>
        </is>
      </c>
      <c r="O101" s="15" t="inlineStr">
        <is>
          <t>Profitable?</t>
        </is>
      </c>
      <c r="P101" s="15" t="inlineStr">
        <is>
          <t>Cash-positive?</t>
        </is>
      </c>
      <c r="Q101" s="15" t="inlineStr">
        <is>
          <t>Note</t>
        </is>
      </c>
    </row>
    <row r="102">
      <c r="B102" s="22" t="n">
        <v>1</v>
      </c>
      <c r="C102" s="14" t="n">
        <v>1</v>
      </c>
      <c r="D102" s="22" t="n">
        <v>0</v>
      </c>
      <c r="E102" s="22" t="n">
        <v>0</v>
      </c>
      <c r="F102" s="22" t="n">
        <v>0</v>
      </c>
      <c r="G102" s="22">
        <f>D102+E102-F102</f>
        <v>0</v>
      </c>
      <c r="H102" s="22">
        <f>G102*$E$9</f>
        <v>0</v>
      </c>
      <c r="I102" s="22">
        <f>E102*'01_Assumptions'!C29*$K$9</f>
        <v>0</v>
      </c>
      <c r="J102" s="22">
        <f>H102+I102</f>
        <v>0</v>
      </c>
      <c r="K102" s="22">
        <f>G102*$F$9</f>
        <v>0</v>
      </c>
      <c r="L102" s="22">
        <f>$G$9+IF(G102&gt;=$I$9,$H$9,0)+IF(G102&gt;=$J$9,$H$9,0)</f>
        <v>7200</v>
      </c>
      <c r="M102" s="34">
        <f>J102-K102-L102</f>
        <v>-7200</v>
      </c>
      <c r="N102" s="22">
        <f>-'01_Assumptions'!C40+M102</f>
        <v>-24200</v>
      </c>
      <c r="O102" s="22">
        <f>IF(M102&gt;0,1,0)</f>
        <v>0</v>
      </c>
      <c r="P102" s="22">
        <f>IF(N102&gt;=0,1,0)</f>
        <v>0</v>
      </c>
    </row>
    <row r="103">
      <c r="B103" s="22" t="n">
        <v>2</v>
      </c>
      <c r="C103" s="14" t="n">
        <v>2</v>
      </c>
      <c r="D103" s="22">
        <f>G102</f>
        <v>0</v>
      </c>
      <c r="E103" s="22">
        <f>ROUND(C102*$C$9,0)</f>
        <v>1</v>
      </c>
      <c r="F103" s="22">
        <f>ROUND(D103*$D$9,0)</f>
        <v>0</v>
      </c>
      <c r="G103" s="22">
        <f>D103+E103-F103</f>
        <v>1</v>
      </c>
      <c r="H103" s="22">
        <f>G103*$E$9</f>
        <v>439.49999999999994</v>
      </c>
      <c r="I103" s="22">
        <f>E103*'01_Assumptions'!C29*$K$9</f>
        <v>250</v>
      </c>
      <c r="J103" s="22">
        <f>H103+I103</f>
        <v>689.5</v>
      </c>
      <c r="K103" s="22">
        <f>G103*$F$9</f>
        <v>67.8082136</v>
      </c>
      <c r="L103" s="22">
        <f>$G$9+IF(G103&gt;=$I$9,$H$9,0)+IF(G103&gt;=$J$9,$H$9,0)</f>
        <v>7200</v>
      </c>
      <c r="M103" s="34">
        <f>J103-K103-L103</f>
        <v>-6578.3082136</v>
      </c>
      <c r="N103" s="22">
        <f>N102+M103</f>
        <v>-30778.3082136</v>
      </c>
      <c r="O103" s="22">
        <f>IF(M103&gt;0,1,0)</f>
        <v>0</v>
      </c>
      <c r="P103" s="22">
        <f>IF(N103&gt;=0,1,0)</f>
        <v>0</v>
      </c>
    </row>
    <row r="104">
      <c r="B104" s="22" t="n">
        <v>3</v>
      </c>
      <c r="C104" s="14" t="n">
        <v>2</v>
      </c>
      <c r="D104" s="22">
        <f>G103</f>
        <v>1</v>
      </c>
      <c r="E104" s="22">
        <f>ROUND(C103*$C$9,0)</f>
        <v>1</v>
      </c>
      <c r="F104" s="22">
        <f>ROUND(D104*$D$9,0)</f>
        <v>0</v>
      </c>
      <c r="G104" s="22">
        <f>D104+E104-F104</f>
        <v>2</v>
      </c>
      <c r="H104" s="22">
        <f>G104*$E$9</f>
        <v>878.9999999999999</v>
      </c>
      <c r="I104" s="22">
        <f>E104*'01_Assumptions'!C29*$K$9</f>
        <v>250</v>
      </c>
      <c r="J104" s="22">
        <f>H104+I104</f>
        <v>1129</v>
      </c>
      <c r="K104" s="22">
        <f>G104*$F$9</f>
        <v>135.6164272</v>
      </c>
      <c r="L104" s="22">
        <f>$G$9+IF(G104&gt;=$I$9,$H$9,0)+IF(G104&gt;=$J$9,$H$9,0)</f>
        <v>7200</v>
      </c>
      <c r="M104" s="34">
        <f>J104-K104-L104</f>
        <v>-6206.6164272</v>
      </c>
      <c r="N104" s="22">
        <f>N103+M104</f>
        <v>-36984.9246408</v>
      </c>
      <c r="O104" s="22">
        <f>IF(M104&gt;0,1,0)</f>
        <v>0</v>
      </c>
      <c r="P104" s="22">
        <f>IF(N104&gt;=0,1,0)</f>
        <v>0</v>
      </c>
    </row>
    <row r="105">
      <c r="B105" s="22" t="n">
        <v>4</v>
      </c>
      <c r="C105" s="14" t="n">
        <v>3</v>
      </c>
      <c r="D105" s="22">
        <f>G104</f>
        <v>2</v>
      </c>
      <c r="E105" s="22">
        <f>ROUND(C104*$C$9,0)</f>
        <v>1</v>
      </c>
      <c r="F105" s="22">
        <f>ROUND(D105*$D$9,0)</f>
        <v>0</v>
      </c>
      <c r="G105" s="22">
        <f>D105+E105-F105</f>
        <v>3</v>
      </c>
      <c r="H105" s="22">
        <f>G105*$E$9</f>
        <v>1318.4999999999998</v>
      </c>
      <c r="I105" s="22">
        <f>E105*'01_Assumptions'!C29*$K$9</f>
        <v>250</v>
      </c>
      <c r="J105" s="22">
        <f>H105+I105</f>
        <v>1568.4999999999998</v>
      </c>
      <c r="K105" s="22">
        <f>G105*$F$9</f>
        <v>203.42464080000002</v>
      </c>
      <c r="L105" s="22">
        <f>$G$9+IF(G105&gt;=$I$9,$H$9,0)+IF(G105&gt;=$J$9,$H$9,0)</f>
        <v>7200</v>
      </c>
      <c r="M105" s="34">
        <f>J105-K105-L105</f>
        <v>-5834.9246408</v>
      </c>
      <c r="N105" s="22">
        <f>N104+M105</f>
        <v>-42819.84928160001</v>
      </c>
      <c r="O105" s="22">
        <f>IF(M105&gt;0,1,0)</f>
        <v>0</v>
      </c>
      <c r="P105" s="22">
        <f>IF(N105&gt;=0,1,0)</f>
        <v>0</v>
      </c>
    </row>
    <row r="106">
      <c r="B106" s="22" t="n">
        <v>5</v>
      </c>
      <c r="C106" s="14" t="n">
        <v>4</v>
      </c>
      <c r="D106" s="22">
        <f>G105</f>
        <v>3</v>
      </c>
      <c r="E106" s="22">
        <f>ROUND(C105*$C$9,0)</f>
        <v>2</v>
      </c>
      <c r="F106" s="22">
        <f>ROUND(D106*$D$9,0)</f>
        <v>0</v>
      </c>
      <c r="G106" s="22">
        <f>D106+E106-F106</f>
        <v>5</v>
      </c>
      <c r="H106" s="22">
        <f>G106*$E$9</f>
        <v>2197.4999999999995</v>
      </c>
      <c r="I106" s="22">
        <f>E106*'01_Assumptions'!C29*$K$9</f>
        <v>500</v>
      </c>
      <c r="J106" s="22">
        <f>H106+I106</f>
        <v>2697.4999999999995</v>
      </c>
      <c r="K106" s="22">
        <f>G106*$F$9</f>
        <v>339.041068</v>
      </c>
      <c r="L106" s="22">
        <f>$G$9+IF(G106&gt;=$I$9,$H$9,0)+IF(G106&gt;=$J$9,$H$9,0)</f>
        <v>7200</v>
      </c>
      <c r="M106" s="34">
        <f>J106-K106-L106</f>
        <v>-4841.541068</v>
      </c>
      <c r="N106" s="22">
        <f>N105+M106</f>
        <v>-47661.390349600006</v>
      </c>
      <c r="O106" s="22">
        <f>IF(M106&gt;0,1,0)</f>
        <v>0</v>
      </c>
      <c r="P106" s="22">
        <f>IF(N106&gt;=0,1,0)</f>
        <v>0</v>
      </c>
    </row>
    <row r="107">
      <c r="B107" s="22" t="n">
        <v>6</v>
      </c>
      <c r="C107" s="14" t="n">
        <v>4</v>
      </c>
      <c r="D107" s="22">
        <f>G106</f>
        <v>5</v>
      </c>
      <c r="E107" s="22">
        <f>ROUND(C106*$C$9,0)</f>
        <v>3</v>
      </c>
      <c r="F107" s="22">
        <f>ROUND(D107*$D$9,0)</f>
        <v>0</v>
      </c>
      <c r="G107" s="22">
        <f>D107+E107-F107</f>
        <v>8</v>
      </c>
      <c r="H107" s="22">
        <f>G107*$E$9</f>
        <v>3515.9999999999995</v>
      </c>
      <c r="I107" s="22">
        <f>E107*'01_Assumptions'!C29*$K$9</f>
        <v>750</v>
      </c>
      <c r="J107" s="22">
        <f>H107+I107</f>
        <v>4266</v>
      </c>
      <c r="K107" s="22">
        <f>G107*$F$9</f>
        <v>542.4657088</v>
      </c>
      <c r="L107" s="22">
        <f>$G$9+IF(G107&gt;=$I$9,$H$9,0)+IF(G107&gt;=$J$9,$H$9,0)</f>
        <v>7200</v>
      </c>
      <c r="M107" s="34">
        <f>J107-K107-L107</f>
        <v>-3476.4657088</v>
      </c>
      <c r="N107" s="22">
        <f>N106+M107</f>
        <v>-51137.85605840001</v>
      </c>
      <c r="O107" s="22">
        <f>IF(M107&gt;0,1,0)</f>
        <v>0</v>
      </c>
      <c r="P107" s="22">
        <f>IF(N107&gt;=0,1,0)</f>
        <v>0</v>
      </c>
    </row>
    <row r="108">
      <c r="B108" s="22" t="n">
        <v>7</v>
      </c>
      <c r="C108" s="14" t="n">
        <v>5</v>
      </c>
      <c r="D108" s="22">
        <f>G107</f>
        <v>8</v>
      </c>
      <c r="E108" s="22">
        <f>ROUND(C107*$C$9,0)</f>
        <v>3</v>
      </c>
      <c r="F108" s="22">
        <f>ROUND(D108*$D$9,0)</f>
        <v>0</v>
      </c>
      <c r="G108" s="22">
        <f>D108+E108-F108</f>
        <v>11</v>
      </c>
      <c r="H108" s="22">
        <f>G108*$E$9</f>
        <v>4834.499999999999</v>
      </c>
      <c r="I108" s="22">
        <f>E108*'01_Assumptions'!C29*$K$9</f>
        <v>750</v>
      </c>
      <c r="J108" s="22">
        <f>H108+I108</f>
        <v>5584.499999999999</v>
      </c>
      <c r="K108" s="22">
        <f>G108*$F$9</f>
        <v>745.8903496</v>
      </c>
      <c r="L108" s="22">
        <f>$G$9+IF(G108&gt;=$I$9,$H$9,0)+IF(G108&gt;=$J$9,$H$9,0)</f>
        <v>7200</v>
      </c>
      <c r="M108" s="34">
        <f>J108-K108-L108</f>
        <v>-2361.390349600001</v>
      </c>
      <c r="N108" s="22">
        <f>N107+M108</f>
        <v>-53499.246408000006</v>
      </c>
      <c r="O108" s="22">
        <f>IF(M108&gt;0,1,0)</f>
        <v>0</v>
      </c>
      <c r="P108" s="22">
        <f>IF(N108&gt;=0,1,0)</f>
        <v>0</v>
      </c>
    </row>
    <row r="109">
      <c r="B109" s="22" t="n">
        <v>8</v>
      </c>
      <c r="C109" s="14" t="n">
        <v>5</v>
      </c>
      <c r="D109" s="22">
        <f>G108</f>
        <v>11</v>
      </c>
      <c r="E109" s="22">
        <f>ROUND(C108*$C$9,0)</f>
        <v>4</v>
      </c>
      <c r="F109" s="22">
        <f>ROUND(D109*$D$9,0)</f>
        <v>0</v>
      </c>
      <c r="G109" s="22">
        <f>D109+E109-F109</f>
        <v>15</v>
      </c>
      <c r="H109" s="22">
        <f>G109*$E$9</f>
        <v>6592.499999999999</v>
      </c>
      <c r="I109" s="22">
        <f>E109*'01_Assumptions'!C29*$K$9</f>
        <v>1000</v>
      </c>
      <c r="J109" s="22">
        <f>H109+I109</f>
        <v>7592.499999999999</v>
      </c>
      <c r="K109" s="22">
        <f>G109*$F$9</f>
        <v>1017.123204</v>
      </c>
      <c r="L109" s="22">
        <f>$G$9+IF(G109&gt;=$I$9,$H$9,0)+IF(G109&gt;=$J$9,$H$9,0)</f>
        <v>7200</v>
      </c>
      <c r="M109" s="34">
        <f>J109-K109-L109</f>
        <v>-624.6232040000014</v>
      </c>
      <c r="N109" s="22">
        <f>N108+M109</f>
        <v>-54123.86961200001</v>
      </c>
      <c r="O109" s="22">
        <f>IF(M109&gt;0,1,0)</f>
        <v>0</v>
      </c>
      <c r="P109" s="22">
        <f>IF(N109&gt;=0,1,0)</f>
        <v>0</v>
      </c>
    </row>
    <row r="110">
      <c r="B110" s="22" t="n">
        <v>9</v>
      </c>
      <c r="C110" s="14" t="n">
        <v>6</v>
      </c>
      <c r="D110" s="22">
        <f>G109</f>
        <v>15</v>
      </c>
      <c r="E110" s="22">
        <f>ROUND(C109*$C$9,0)</f>
        <v>4</v>
      </c>
      <c r="F110" s="22">
        <f>ROUND(D110*$D$9,0)</f>
        <v>0</v>
      </c>
      <c r="G110" s="22">
        <f>D110+E110-F110</f>
        <v>19</v>
      </c>
      <c r="H110" s="22">
        <f>G110*$E$9</f>
        <v>8350.499999999998</v>
      </c>
      <c r="I110" s="22">
        <f>E110*'01_Assumptions'!C29*$K$9</f>
        <v>1000</v>
      </c>
      <c r="J110" s="22">
        <f>H110+I110</f>
        <v>9350.499999999998</v>
      </c>
      <c r="K110" s="22">
        <f>G110*$F$9</f>
        <v>1288.3560584</v>
      </c>
      <c r="L110" s="22">
        <f>$G$9+IF(G110&gt;=$I$9,$H$9,0)+IF(G110&gt;=$J$9,$H$9,0)</f>
        <v>7200</v>
      </c>
      <c r="M110" s="34">
        <f>J110-K110-L110</f>
        <v>862.1439415999985</v>
      </c>
      <c r="N110" s="22">
        <f>N109+M110</f>
        <v>-53261.72567040001</v>
      </c>
      <c r="O110" s="22">
        <f>IF(M110&gt;0,1,0)</f>
        <v>1</v>
      </c>
      <c r="P110" s="22">
        <f>IF(N110&gt;=0,1,0)</f>
        <v>0</v>
      </c>
    </row>
    <row r="111">
      <c r="B111" s="22" t="n">
        <v>10</v>
      </c>
      <c r="C111" s="14" t="n">
        <v>6</v>
      </c>
      <c r="D111" s="22">
        <f>G110</f>
        <v>19</v>
      </c>
      <c r="E111" s="22">
        <f>ROUND(C110*$C$9,0)</f>
        <v>4</v>
      </c>
      <c r="F111" s="22">
        <f>ROUND(D111*$D$9,0)</f>
        <v>0</v>
      </c>
      <c r="G111" s="22">
        <f>D111+E111-F111</f>
        <v>23</v>
      </c>
      <c r="H111" s="22">
        <f>G111*$E$9</f>
        <v>10108.499999999998</v>
      </c>
      <c r="I111" s="22">
        <f>E111*'01_Assumptions'!C29*$K$9</f>
        <v>1000</v>
      </c>
      <c r="J111" s="22">
        <f>H111+I111</f>
        <v>11108.499999999998</v>
      </c>
      <c r="K111" s="22">
        <f>G111*$F$9</f>
        <v>1559.5889128000001</v>
      </c>
      <c r="L111" s="22">
        <f>$G$9+IF(G111&gt;=$I$9,$H$9,0)+IF(G111&gt;=$J$9,$H$9,0)</f>
        <v>7200</v>
      </c>
      <c r="M111" s="34">
        <f>J111-K111-L111</f>
        <v>2348.9110871999983</v>
      </c>
      <c r="N111" s="22">
        <f>N110+M111</f>
        <v>-50912.814583200015</v>
      </c>
      <c r="O111" s="22">
        <f>IF(M111&gt;0,1,0)</f>
        <v>1</v>
      </c>
      <c r="P111" s="22">
        <f>IF(N111&gt;=0,1,0)</f>
        <v>0</v>
      </c>
    </row>
    <row r="112">
      <c r="B112" s="22" t="n">
        <v>11</v>
      </c>
      <c r="C112" s="14" t="n">
        <v>6</v>
      </c>
      <c r="D112" s="22">
        <f>G111</f>
        <v>23</v>
      </c>
      <c r="E112" s="22">
        <f>ROUND(C111*$C$9,0)</f>
        <v>4</v>
      </c>
      <c r="F112" s="22">
        <f>ROUND(D112*$D$9,0)</f>
        <v>0</v>
      </c>
      <c r="G112" s="22">
        <f>D112+E112-F112</f>
        <v>27</v>
      </c>
      <c r="H112" s="22">
        <f>G112*$E$9</f>
        <v>11866.499999999998</v>
      </c>
      <c r="I112" s="22">
        <f>E112*'01_Assumptions'!C29*$K$9</f>
        <v>1000</v>
      </c>
      <c r="J112" s="22">
        <f>H112+I112</f>
        <v>12866.499999999998</v>
      </c>
      <c r="K112" s="22">
        <f>G112*$F$9</f>
        <v>1830.8217672</v>
      </c>
      <c r="L112" s="22">
        <f>$G$9+IF(G112&gt;=$I$9,$H$9,0)+IF(G112&gt;=$J$9,$H$9,0)</f>
        <v>10800</v>
      </c>
      <c r="M112" s="34">
        <f>J112-K112-L112</f>
        <v>235.6782327999972</v>
      </c>
      <c r="N112" s="22">
        <f>N111+M112</f>
        <v>-50677.13635040002</v>
      </c>
      <c r="O112" s="22">
        <f>IF(M112&gt;0,1,0)</f>
        <v>1</v>
      </c>
      <c r="P112" s="22">
        <f>IF(N112&gt;=0,1,0)</f>
        <v>0</v>
      </c>
    </row>
    <row r="113">
      <c r="B113" s="22" t="n">
        <v>12</v>
      </c>
      <c r="C113" s="14" t="n">
        <v>6</v>
      </c>
      <c r="D113" s="22">
        <f>G112</f>
        <v>27</v>
      </c>
      <c r="E113" s="22">
        <f>ROUND(C112*$C$9,0)</f>
        <v>4</v>
      </c>
      <c r="F113" s="22">
        <f>ROUND(D113*$D$9,0)</f>
        <v>0</v>
      </c>
      <c r="G113" s="22">
        <f>D113+E113-F113</f>
        <v>31</v>
      </c>
      <c r="H113" s="22">
        <f>G113*$E$9</f>
        <v>13624.499999999998</v>
      </c>
      <c r="I113" s="22">
        <f>E113*'01_Assumptions'!C29*$K$9</f>
        <v>1000</v>
      </c>
      <c r="J113" s="22">
        <f>H113+I113</f>
        <v>14624.499999999998</v>
      </c>
      <c r="K113" s="22">
        <f>G113*$F$9</f>
        <v>2102.0546216000002</v>
      </c>
      <c r="L113" s="22">
        <f>$G$9+IF(G113&gt;=$I$9,$H$9,0)+IF(G113&gt;=$J$9,$H$9,0)</f>
        <v>10800</v>
      </c>
      <c r="M113" s="34">
        <f>J113-K113-L113</f>
        <v>1722.445378399998</v>
      </c>
      <c r="N113" s="22">
        <f>N112+M113</f>
        <v>-48954.69097200002</v>
      </c>
      <c r="O113" s="22">
        <f>IF(M113&gt;0,1,0)</f>
        <v>1</v>
      </c>
      <c r="P113" s="22">
        <f>IF(N113&gt;=0,1,0)</f>
        <v>0</v>
      </c>
    </row>
    <row r="114">
      <c r="B114" s="22" t="n">
        <v>13</v>
      </c>
      <c r="C114" s="14" t="n">
        <v>6</v>
      </c>
      <c r="D114" s="22">
        <f>G113</f>
        <v>31</v>
      </c>
      <c r="E114" s="22">
        <f>ROUND(C113*$C$9,0)</f>
        <v>4</v>
      </c>
      <c r="F114" s="22">
        <f>ROUND(D114*$D$9,0)</f>
        <v>1</v>
      </c>
      <c r="G114" s="22">
        <f>D114+E114-F114</f>
        <v>34</v>
      </c>
      <c r="H114" s="22">
        <f>G114*$E$9</f>
        <v>14942.999999999998</v>
      </c>
      <c r="I114" s="22">
        <f>E114*'01_Assumptions'!C29*$K$9</f>
        <v>1000</v>
      </c>
      <c r="J114" s="22">
        <f>H114+I114</f>
        <v>15942.999999999998</v>
      </c>
      <c r="K114" s="22">
        <f>G114*$F$9</f>
        <v>2305.4792624</v>
      </c>
      <c r="L114" s="22">
        <f>$G$9+IF(G114&gt;=$I$9,$H$9,0)+IF(G114&gt;=$J$9,$H$9,0)</f>
        <v>10800</v>
      </c>
      <c r="M114" s="34">
        <f>J114-K114-L114</f>
        <v>2837.520737599998</v>
      </c>
      <c r="N114" s="22">
        <f>N113+M114</f>
        <v>-46117.17023440002</v>
      </c>
      <c r="O114" s="22">
        <f>IF(M114&gt;0,1,0)</f>
        <v>1</v>
      </c>
      <c r="P114" s="22">
        <f>IF(N114&gt;=0,1,0)</f>
        <v>0</v>
      </c>
    </row>
    <row r="115">
      <c r="B115" s="22" t="n">
        <v>14</v>
      </c>
      <c r="C115" s="14" t="n">
        <v>7</v>
      </c>
      <c r="D115" s="22">
        <f>G114</f>
        <v>34</v>
      </c>
      <c r="E115" s="22">
        <f>ROUND(C114*$C$9,0)</f>
        <v>4</v>
      </c>
      <c r="F115" s="22">
        <f>ROUND(D115*$D$9,0)</f>
        <v>1</v>
      </c>
      <c r="G115" s="22">
        <f>D115+E115-F115</f>
        <v>37</v>
      </c>
      <c r="H115" s="22">
        <f>G115*$E$9</f>
        <v>16261.499999999998</v>
      </c>
      <c r="I115" s="22">
        <f>E115*'01_Assumptions'!C29*$K$9</f>
        <v>1000</v>
      </c>
      <c r="J115" s="22">
        <f>H115+I115</f>
        <v>17261.5</v>
      </c>
      <c r="K115" s="22">
        <f>G115*$F$9</f>
        <v>2508.9039032</v>
      </c>
      <c r="L115" s="22">
        <f>$G$9+IF(G115&gt;=$I$9,$H$9,0)+IF(G115&gt;=$J$9,$H$9,0)</f>
        <v>10800</v>
      </c>
      <c r="M115" s="34">
        <f>J115-K115-L115</f>
        <v>3952.5960968</v>
      </c>
      <c r="N115" s="22">
        <f>N114+M115</f>
        <v>-42164.57413760002</v>
      </c>
      <c r="O115" s="22">
        <f>IF(M115&gt;0,1,0)</f>
        <v>1</v>
      </c>
      <c r="P115" s="22">
        <f>IF(N115&gt;=0,1,0)</f>
        <v>0</v>
      </c>
    </row>
    <row r="116">
      <c r="B116" s="22" t="n">
        <v>15</v>
      </c>
      <c r="C116" s="14" t="n">
        <v>7</v>
      </c>
      <c r="D116" s="22">
        <f>G115</f>
        <v>37</v>
      </c>
      <c r="E116" s="22">
        <f>ROUND(C115*$C$9,0)</f>
        <v>5</v>
      </c>
      <c r="F116" s="22">
        <f>ROUND(D116*$D$9,0)</f>
        <v>1</v>
      </c>
      <c r="G116" s="22">
        <f>D116+E116-F116</f>
        <v>41</v>
      </c>
      <c r="H116" s="22">
        <f>G116*$E$9</f>
        <v>18019.499999999996</v>
      </c>
      <c r="I116" s="22">
        <f>E116*'01_Assumptions'!C29*$K$9</f>
        <v>1250</v>
      </c>
      <c r="J116" s="22">
        <f>H116+I116</f>
        <v>19269.499999999996</v>
      </c>
      <c r="K116" s="22">
        <f>G116*$F$9</f>
        <v>2780.1367576000002</v>
      </c>
      <c r="L116" s="22">
        <f>$G$9+IF(G116&gt;=$I$9,$H$9,0)+IF(G116&gt;=$J$9,$H$9,0)</f>
        <v>10800</v>
      </c>
      <c r="M116" s="34">
        <f>J116-K116-L116</f>
        <v>5689.363242399995</v>
      </c>
      <c r="N116" s="22">
        <f>N115+M116</f>
        <v>-36475.21089520003</v>
      </c>
      <c r="O116" s="22">
        <f>IF(M116&gt;0,1,0)</f>
        <v>1</v>
      </c>
      <c r="P116" s="22">
        <f>IF(N116&gt;=0,1,0)</f>
        <v>0</v>
      </c>
    </row>
    <row r="117">
      <c r="B117" s="22" t="n">
        <v>16</v>
      </c>
      <c r="C117" s="14" t="n">
        <v>7</v>
      </c>
      <c r="D117" s="22">
        <f>G116</f>
        <v>41</v>
      </c>
      <c r="E117" s="22">
        <f>ROUND(C116*$C$9,0)</f>
        <v>5</v>
      </c>
      <c r="F117" s="22">
        <f>ROUND(D117*$D$9,0)</f>
        <v>1</v>
      </c>
      <c r="G117" s="22">
        <f>D117+E117-F117</f>
        <v>45</v>
      </c>
      <c r="H117" s="22">
        <f>G117*$E$9</f>
        <v>19777.499999999996</v>
      </c>
      <c r="I117" s="22">
        <f>E117*'01_Assumptions'!C29*$K$9</f>
        <v>1250</v>
      </c>
      <c r="J117" s="22">
        <f>H117+I117</f>
        <v>21027.499999999996</v>
      </c>
      <c r="K117" s="22">
        <f>G117*$F$9</f>
        <v>3051.369612</v>
      </c>
      <c r="L117" s="22">
        <f>$G$9+IF(G117&gt;=$I$9,$H$9,0)+IF(G117&gt;=$J$9,$H$9,0)</f>
        <v>10800</v>
      </c>
      <c r="M117" s="34">
        <f>J117-K117-L117</f>
        <v>7176.130387999998</v>
      </c>
      <c r="N117" s="22">
        <f>N116+M117</f>
        <v>-29299.08050720003</v>
      </c>
      <c r="O117" s="22">
        <f>IF(M117&gt;0,1,0)</f>
        <v>1</v>
      </c>
      <c r="P117" s="22">
        <f>IF(N117&gt;=0,1,0)</f>
        <v>0</v>
      </c>
    </row>
    <row r="118">
      <c r="B118" s="22" t="n">
        <v>17</v>
      </c>
      <c r="C118" s="14" t="n">
        <v>7</v>
      </c>
      <c r="D118" s="22">
        <f>G117</f>
        <v>45</v>
      </c>
      <c r="E118" s="22">
        <f>ROUND(C117*$C$9,0)</f>
        <v>5</v>
      </c>
      <c r="F118" s="22">
        <f>ROUND(D118*$D$9,0)</f>
        <v>1</v>
      </c>
      <c r="G118" s="22">
        <f>D118+E118-F118</f>
        <v>49</v>
      </c>
      <c r="H118" s="22">
        <f>G118*$E$9</f>
        <v>21535.499999999996</v>
      </c>
      <c r="I118" s="22">
        <f>E118*'01_Assumptions'!C29*$K$9</f>
        <v>1250</v>
      </c>
      <c r="J118" s="22">
        <f>H118+I118</f>
        <v>22785.499999999996</v>
      </c>
      <c r="K118" s="22">
        <f>G118*$F$9</f>
        <v>3322.6024664</v>
      </c>
      <c r="L118" s="22">
        <f>$G$9+IF(G118&gt;=$I$9,$H$9,0)+IF(G118&gt;=$J$9,$H$9,0)</f>
        <v>10800</v>
      </c>
      <c r="M118" s="34">
        <f>J118-K118-L118</f>
        <v>8662.897533599997</v>
      </c>
      <c r="N118" s="22">
        <f>N117+M118</f>
        <v>-20636.182973600033</v>
      </c>
      <c r="O118" s="22">
        <f>IF(M118&gt;0,1,0)</f>
        <v>1</v>
      </c>
      <c r="P118" s="22">
        <f>IF(N118&gt;=0,1,0)</f>
        <v>0</v>
      </c>
    </row>
    <row r="119">
      <c r="B119" s="22" t="n">
        <v>18</v>
      </c>
      <c r="C119" s="14" t="n">
        <v>7</v>
      </c>
      <c r="D119" s="22">
        <f>G118</f>
        <v>49</v>
      </c>
      <c r="E119" s="22">
        <f>ROUND(C118*$C$9,0)</f>
        <v>5</v>
      </c>
      <c r="F119" s="22">
        <f>ROUND(D119*$D$9,0)</f>
        <v>1</v>
      </c>
      <c r="G119" s="22">
        <f>D119+E119-F119</f>
        <v>53</v>
      </c>
      <c r="H119" s="22">
        <f>G119*$E$9</f>
        <v>23293.499999999996</v>
      </c>
      <c r="I119" s="22">
        <f>E119*'01_Assumptions'!C29*$K$9</f>
        <v>1250</v>
      </c>
      <c r="J119" s="22">
        <f>H119+I119</f>
        <v>24543.499999999996</v>
      </c>
      <c r="K119" s="22">
        <f>G119*$F$9</f>
        <v>3593.8353208000003</v>
      </c>
      <c r="L119" s="22">
        <f>$G$9+IF(G119&gt;=$I$9,$H$9,0)+IF(G119&gt;=$J$9,$H$9,0)</f>
        <v>10800</v>
      </c>
      <c r="M119" s="34">
        <f>J119-K119-L119</f>
        <v>10149.664679199996</v>
      </c>
      <c r="N119" s="22">
        <f>N118+M119</f>
        <v>-10486.518294400037</v>
      </c>
      <c r="O119" s="22">
        <f>IF(M119&gt;0,1,0)</f>
        <v>1</v>
      </c>
      <c r="P119" s="22">
        <f>IF(N119&gt;=0,1,0)</f>
        <v>0</v>
      </c>
    </row>
    <row r="120">
      <c r="B120" s="22" t="n">
        <v>19</v>
      </c>
      <c r="C120" s="14" t="n">
        <v>7</v>
      </c>
      <c r="D120" s="22">
        <f>G119</f>
        <v>53</v>
      </c>
      <c r="E120" s="22">
        <f>ROUND(C119*$C$9,0)</f>
        <v>5</v>
      </c>
      <c r="F120" s="22">
        <f>ROUND(D120*$D$9,0)</f>
        <v>1</v>
      </c>
      <c r="G120" s="22">
        <f>D120+E120-F120</f>
        <v>57</v>
      </c>
      <c r="H120" s="22">
        <f>G120*$E$9</f>
        <v>25051.499999999996</v>
      </c>
      <c r="I120" s="22">
        <f>E120*'01_Assumptions'!C29*$K$9</f>
        <v>1250</v>
      </c>
      <c r="J120" s="22">
        <f>H120+I120</f>
        <v>26301.499999999996</v>
      </c>
      <c r="K120" s="22">
        <f>G120*$F$9</f>
        <v>3865.0681752</v>
      </c>
      <c r="L120" s="22">
        <f>$G$9+IF(G120&gt;=$I$9,$H$9,0)+IF(G120&gt;=$J$9,$H$9,0)</f>
        <v>14400</v>
      </c>
      <c r="M120" s="34">
        <f>J120-K120-L120</f>
        <v>8036.431824799998</v>
      </c>
      <c r="N120" s="22">
        <f>N119+M120</f>
        <v>-2450.086469600039</v>
      </c>
      <c r="O120" s="22">
        <f>IF(M120&gt;0,1,0)</f>
        <v>1</v>
      </c>
      <c r="P120" s="22">
        <f>IF(N120&gt;=0,1,0)</f>
        <v>0</v>
      </c>
    </row>
    <row r="121">
      <c r="B121" s="22" t="n">
        <v>20</v>
      </c>
      <c r="C121" s="14" t="n">
        <v>7</v>
      </c>
      <c r="D121" s="22">
        <f>G120</f>
        <v>57</v>
      </c>
      <c r="E121" s="22">
        <f>ROUND(C120*$C$9,0)</f>
        <v>5</v>
      </c>
      <c r="F121" s="22">
        <f>ROUND(D121*$D$9,0)</f>
        <v>1</v>
      </c>
      <c r="G121" s="22">
        <f>D121+E121-F121</f>
        <v>61</v>
      </c>
      <c r="H121" s="22">
        <f>G121*$E$9</f>
        <v>26809.499999999996</v>
      </c>
      <c r="I121" s="22">
        <f>E121*'01_Assumptions'!C29*$K$9</f>
        <v>1250</v>
      </c>
      <c r="J121" s="22">
        <f>H121+I121</f>
        <v>28059.499999999996</v>
      </c>
      <c r="K121" s="22">
        <f>G121*$F$9</f>
        <v>4136.3010296</v>
      </c>
      <c r="L121" s="22">
        <f>$G$9+IF(G121&gt;=$I$9,$H$9,0)+IF(G121&gt;=$J$9,$H$9,0)</f>
        <v>14400</v>
      </c>
      <c r="M121" s="34">
        <f>J121-K121-L121</f>
        <v>9523.198970399997</v>
      </c>
      <c r="N121" s="22">
        <f>N120+M121</f>
        <v>7073.112500799958</v>
      </c>
      <c r="O121" s="22">
        <f>IF(M121&gt;0,1,0)</f>
        <v>1</v>
      </c>
      <c r="P121" s="22">
        <f>IF(N121&gt;=0,1,0)</f>
        <v>1</v>
      </c>
    </row>
    <row r="122">
      <c r="B122" s="22" t="n">
        <v>21</v>
      </c>
      <c r="C122" s="14" t="n">
        <v>7</v>
      </c>
      <c r="D122" s="22">
        <f>G121</f>
        <v>61</v>
      </c>
      <c r="E122" s="22">
        <f>ROUND(C121*$C$9,0)</f>
        <v>5</v>
      </c>
      <c r="F122" s="22">
        <f>ROUND(D122*$D$9,0)</f>
        <v>1</v>
      </c>
      <c r="G122" s="22">
        <f>D122+E122-F122</f>
        <v>65</v>
      </c>
      <c r="H122" s="22">
        <f>G122*$E$9</f>
        <v>28567.499999999996</v>
      </c>
      <c r="I122" s="22">
        <f>E122*'01_Assumptions'!C29*$K$9</f>
        <v>1250</v>
      </c>
      <c r="J122" s="22">
        <f>H122+I122</f>
        <v>29817.499999999996</v>
      </c>
      <c r="K122" s="22">
        <f>G122*$F$9</f>
        <v>4407.533884</v>
      </c>
      <c r="L122" s="22">
        <f>$G$9+IF(G122&gt;=$I$9,$H$9,0)+IF(G122&gt;=$J$9,$H$9,0)</f>
        <v>14400</v>
      </c>
      <c r="M122" s="34">
        <f>J122-K122-L122</f>
        <v>11009.966115999996</v>
      </c>
      <c r="N122" s="22">
        <f>N121+M122</f>
        <v>18083.078616799954</v>
      </c>
      <c r="O122" s="22">
        <f>IF(M122&gt;0,1,0)</f>
        <v>1</v>
      </c>
      <c r="P122" s="22">
        <f>IF(N122&gt;=0,1,0)</f>
        <v>1</v>
      </c>
    </row>
    <row r="123">
      <c r="B123" s="22" t="n">
        <v>22</v>
      </c>
      <c r="C123" s="14" t="n">
        <v>7</v>
      </c>
      <c r="D123" s="22">
        <f>G122</f>
        <v>65</v>
      </c>
      <c r="E123" s="22">
        <f>ROUND(C122*$C$9,0)</f>
        <v>5</v>
      </c>
      <c r="F123" s="22">
        <f>ROUND(D123*$D$9,0)</f>
        <v>1</v>
      </c>
      <c r="G123" s="22">
        <f>D123+E123-F123</f>
        <v>69</v>
      </c>
      <c r="H123" s="22">
        <f>G123*$E$9</f>
        <v>30325.499999999996</v>
      </c>
      <c r="I123" s="22">
        <f>E123*'01_Assumptions'!C29*$K$9</f>
        <v>1250</v>
      </c>
      <c r="J123" s="22">
        <f>H123+I123</f>
        <v>31575.499999999996</v>
      </c>
      <c r="K123" s="22">
        <f>G123*$F$9</f>
        <v>4678.766738400001</v>
      </c>
      <c r="L123" s="22">
        <f>$G$9+IF(G123&gt;=$I$9,$H$9,0)+IF(G123&gt;=$J$9,$H$9,0)</f>
        <v>14400</v>
      </c>
      <c r="M123" s="34">
        <f>J123-K123-L123</f>
        <v>12496.733261599995</v>
      </c>
      <c r="N123" s="22">
        <f>N122+M123</f>
        <v>30579.81187839995</v>
      </c>
      <c r="O123" s="22">
        <f>IF(M123&gt;0,1,0)</f>
        <v>1</v>
      </c>
      <c r="P123" s="22">
        <f>IF(N123&gt;=0,1,0)</f>
        <v>1</v>
      </c>
    </row>
    <row r="124">
      <c r="B124" s="22" t="n">
        <v>23</v>
      </c>
      <c r="C124" s="14" t="n">
        <v>7</v>
      </c>
      <c r="D124" s="22">
        <f>G123</f>
        <v>69</v>
      </c>
      <c r="E124" s="22">
        <f>ROUND(C123*$C$9,0)</f>
        <v>5</v>
      </c>
      <c r="F124" s="22">
        <f>ROUND(D124*$D$9,0)</f>
        <v>1</v>
      </c>
      <c r="G124" s="22">
        <f>D124+E124-F124</f>
        <v>73</v>
      </c>
      <c r="H124" s="22">
        <f>G124*$E$9</f>
        <v>32083.499999999996</v>
      </c>
      <c r="I124" s="22">
        <f>E124*'01_Assumptions'!C29*$K$9</f>
        <v>1250</v>
      </c>
      <c r="J124" s="22">
        <f>H124+I124</f>
        <v>33333.5</v>
      </c>
      <c r="K124" s="22">
        <f>G124*$F$9</f>
        <v>4949.9995928</v>
      </c>
      <c r="L124" s="22">
        <f>$G$9+IF(G124&gt;=$I$9,$H$9,0)+IF(G124&gt;=$J$9,$H$9,0)</f>
        <v>14400</v>
      </c>
      <c r="M124" s="34">
        <f>J124-K124-L124</f>
        <v>13983.500407200001</v>
      </c>
      <c r="N124" s="22">
        <f>N123+M124</f>
        <v>44563.31228559995</v>
      </c>
      <c r="O124" s="22">
        <f>IF(M124&gt;0,1,0)</f>
        <v>1</v>
      </c>
      <c r="P124" s="22">
        <f>IF(N124&gt;=0,1,0)</f>
        <v>1</v>
      </c>
    </row>
    <row r="125">
      <c r="B125" s="22" t="n">
        <v>24</v>
      </c>
      <c r="C125" s="14" t="n">
        <v>7</v>
      </c>
      <c r="D125" s="22">
        <f>G124</f>
        <v>73</v>
      </c>
      <c r="E125" s="22">
        <f>ROUND(C124*$C$9,0)</f>
        <v>5</v>
      </c>
      <c r="F125" s="22">
        <f>ROUND(D125*$D$9,0)</f>
        <v>1</v>
      </c>
      <c r="G125" s="22">
        <f>D125+E125-F125</f>
        <v>77</v>
      </c>
      <c r="H125" s="22">
        <f>G125*$E$9</f>
        <v>33841.49999999999</v>
      </c>
      <c r="I125" s="22">
        <f>E125*'01_Assumptions'!C29*$K$9</f>
        <v>1250</v>
      </c>
      <c r="J125" s="22">
        <f>H125+I125</f>
        <v>35091.49999999999</v>
      </c>
      <c r="K125" s="22">
        <f>G125*$F$9</f>
        <v>5221.2324472</v>
      </c>
      <c r="L125" s="22">
        <f>$G$9+IF(G125&gt;=$I$9,$H$9,0)+IF(G125&gt;=$J$9,$H$9,0)</f>
        <v>14400</v>
      </c>
      <c r="M125" s="34">
        <f>J125-K125-L125</f>
        <v>15470.267552799993</v>
      </c>
      <c r="N125" s="22">
        <f>N124+M125</f>
        <v>60033.57983839995</v>
      </c>
      <c r="O125" s="22">
        <f>IF(M125&gt;0,1,0)</f>
        <v>1</v>
      </c>
      <c r="P125" s="22">
        <f>IF(N125&gt;=0,1,0)</f>
        <v>1</v>
      </c>
    </row>
    <row r="127">
      <c r="B127" s="3" t="inlineStr">
        <is>
          <t>Summary</t>
        </is>
      </c>
      <c r="D127" s="3" t="inlineStr">
        <is>
          <t>Value</t>
        </is>
      </c>
    </row>
    <row r="128">
      <c r="B128" s="5" t="inlineStr">
        <is>
          <t>Active properties, month 12</t>
        </is>
      </c>
      <c r="D128" s="7">
        <f>G113</f>
        <v>31</v>
      </c>
    </row>
    <row r="129">
      <c r="B129" s="5" t="inlineStr">
        <is>
          <t>Active properties, month 24</t>
        </is>
      </c>
      <c r="D129" s="7">
        <f>G125</f>
        <v>77</v>
      </c>
    </row>
    <row r="130">
      <c r="B130" s="5" t="inlineStr">
        <is>
          <t>MRR, month 12</t>
        </is>
      </c>
      <c r="D130" s="7">
        <f>H113</f>
        <v>13624.499999999998</v>
      </c>
    </row>
    <row r="131">
      <c r="B131" s="5" t="inlineStr">
        <is>
          <t>MRR, month 24</t>
        </is>
      </c>
      <c r="D131" s="7">
        <f>H125</f>
        <v>33841.49999999999</v>
      </c>
    </row>
    <row r="132">
      <c r="B132" s="5" t="inlineStr">
        <is>
          <t>ARR, month 24</t>
        </is>
      </c>
      <c r="D132" s="7">
        <f>H125*12</f>
        <v>406097.9999999999</v>
      </c>
    </row>
    <row r="133">
      <c r="B133" s="5" t="inlineStr">
        <is>
          <t>Total revenue, 24 months</t>
        </is>
      </c>
      <c r="D133" s="7">
        <f>SUM(J102:J125)</f>
        <v>376487</v>
      </c>
    </row>
    <row r="134">
      <c r="B134" s="5" t="inlineStr">
        <is>
          <t>Total COGS, 24 months</t>
        </is>
      </c>
      <c r="D134" s="7">
        <f>SUM(K102:K125)</f>
        <v>54653.4201616</v>
      </c>
    </row>
    <row r="135">
      <c r="B135" s="5" t="inlineStr">
        <is>
          <t>Total opex, 24 months</t>
        </is>
      </c>
      <c r="D135" s="7">
        <f>SUM(L102:L125)</f>
        <v>244800</v>
      </c>
    </row>
    <row r="136">
      <c r="B136" s="5" t="inlineStr">
        <is>
          <t>Gross profit, 24 months</t>
        </is>
      </c>
      <c r="D136" s="7">
        <f>SUM(J102:J125)-SUM(K102:K125)</f>
        <v>321833.5798384</v>
      </c>
    </row>
    <row r="137">
      <c r="B137" s="5" t="inlineStr">
        <is>
          <t>Net cash, 24 months</t>
        </is>
      </c>
      <c r="D137" s="7">
        <f>SUM(M102:M125)</f>
        <v>77033.57983839995</v>
      </c>
    </row>
    <row r="138">
      <c r="B138" s="5" t="inlineStr">
        <is>
          <t>Peak funding need (min cumulative)</t>
        </is>
      </c>
      <c r="D138" s="7">
        <f>MIN(N102:N125)</f>
        <v>-54123.86961200001</v>
      </c>
    </row>
    <row r="139">
      <c r="B139" s="5" t="inlineStr">
        <is>
          <t>First profitable month</t>
        </is>
      </c>
      <c r="D139" s="7" t="str">
        <f>IFERROR(MATCH(1,O102:O125,0),"beyond 24")</f>
        <v>9</v>
      </c>
    </row>
    <row r="140">
      <c r="B140" s="5" t="inlineStr">
        <is>
          <t>Cash recovered month</t>
        </is>
      </c>
      <c r="D140" s="7" t="str">
        <f>IFERROR(MATCH(1,P102:P125,0),"beyond 24")</f>
        <v>20</v>
      </c>
    </row>
    <row r="143">
      <c r="B143" s="2" t="inlineStr">
        <is>
          <t>Only the blue column is an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F24"/>
  <sheetViews>
    <sheetView showGridLines="0" workbookViewId="0">
      <selection activeCell="A1" sqref="A1"/>
    </sheetView>
  </sheetViews>
  <sheetFormatPr baseColWidth="8" defaultRowHeight="15"/>
  <cols>
    <col width="3" customWidth="1" min="1" max="1"/>
    <col width="34" customWidth="1" min="2" max="2"/>
    <col width="18" customWidth="1" min="3" max="3"/>
    <col width="18" customWidth="1" min="4" max="4"/>
    <col width="18" customWidth="1" min="5" max="5"/>
  </cols>
  <sheetData>
    <row r="2">
      <c r="B2" s="1" t="inlineStr">
        <is>
          <t>Scenario comparison</t>
        </is>
      </c>
    </row>
    <row r="3">
      <c r="B3" s="2" t="inlineStr">
        <is>
          <t>Everything here is pulled live from 05_Ramp.</t>
        </is>
      </c>
    </row>
    <row r="5" ht="28" customHeight="1">
      <c r="B5" s="15" t="inlineStr">
        <is>
          <t>Metric</t>
        </is>
      </c>
      <c r="C5" s="15" t="inlineStr">
        <is>
          <t>Conservative</t>
        </is>
      </c>
      <c r="D5" s="15" t="inlineStr">
        <is>
          <t>Base</t>
        </is>
      </c>
      <c r="E5" s="15" t="inlineStr">
        <is>
          <t>Aggressive</t>
        </is>
      </c>
    </row>
    <row r="6">
      <c r="B6" s="5" t="inlineStr">
        <is>
          <t>Active properties — month 12</t>
        </is>
      </c>
      <c r="C6" s="7">
        <f>'05_Ramp'!D38</f>
        <v>11</v>
      </c>
      <c r="D6" s="7">
        <f>'05_Ramp'!D83</f>
        <v>18</v>
      </c>
      <c r="E6" s="7">
        <f>'05_Ramp'!D128</f>
        <v>31</v>
      </c>
    </row>
    <row r="7">
      <c r="B7" s="5" t="inlineStr">
        <is>
          <t>Active properties — month 24</t>
        </is>
      </c>
      <c r="C7" s="7">
        <f>'05_Ramp'!D39</f>
        <v>26</v>
      </c>
      <c r="D7" s="7">
        <f>'05_Ramp'!D84</f>
        <v>31</v>
      </c>
      <c r="E7" s="7">
        <f>'05_Ramp'!D129</f>
        <v>77</v>
      </c>
    </row>
    <row r="8">
      <c r="B8" s="5" t="inlineStr">
        <is>
          <t>MRR — month 12</t>
        </is>
      </c>
      <c r="C8" s="7">
        <f>'05_Ramp'!D40</f>
        <v>4834.499999999999</v>
      </c>
      <c r="D8" s="7">
        <f>'05_Ramp'!D85</f>
        <v>7910.999999999999</v>
      </c>
      <c r="E8" s="7">
        <f>'05_Ramp'!D130</f>
        <v>13624.499999999998</v>
      </c>
    </row>
    <row r="9">
      <c r="B9" s="5" t="inlineStr">
        <is>
          <t>MRR — month 24</t>
        </is>
      </c>
      <c r="C9" s="7">
        <f>'05_Ramp'!D41</f>
        <v>11426.999999999998</v>
      </c>
      <c r="D9" s="7">
        <f>'05_Ramp'!D86</f>
        <v>13624.499999999998</v>
      </c>
      <c r="E9" s="7">
        <f>'05_Ramp'!D131</f>
        <v>33841.49999999999</v>
      </c>
    </row>
    <row r="10">
      <c r="B10" s="5" t="inlineStr">
        <is>
          <t>ARR — month 24</t>
        </is>
      </c>
      <c r="C10" s="7">
        <f>'05_Ramp'!D42</f>
        <v>137123.99999999997</v>
      </c>
      <c r="D10" s="7">
        <f>'05_Ramp'!D87</f>
        <v>163493.99999999997</v>
      </c>
      <c r="E10" s="7">
        <f>'05_Ramp'!D132</f>
        <v>406097.9999999999</v>
      </c>
    </row>
    <row r="11">
      <c r="B11" s="5" t="inlineStr">
        <is>
          <t>24-month revenue</t>
        </is>
      </c>
      <c r="C11" s="7">
        <f>'05_Ramp'!D43</f>
        <v>142987</v>
      </c>
      <c r="D11" s="7">
        <f>'05_Ramp'!D88</f>
        <v>186299.99999999997</v>
      </c>
      <c r="E11" s="7">
        <f>'05_Ramp'!D133</f>
        <v>376487</v>
      </c>
    </row>
    <row r="12">
      <c r="B12" s="5" t="inlineStr">
        <is>
          <t>24-month COGS</t>
        </is>
      </c>
      <c r="C12" s="7">
        <f>'05_Ramp'!D44</f>
        <v>20749.3133616</v>
      </c>
      <c r="D12" s="7">
        <f>'05_Ramp'!D89</f>
        <v>27123.285440000003</v>
      </c>
      <c r="E12" s="7">
        <f>'05_Ramp'!D134</f>
        <v>54653.4201616</v>
      </c>
    </row>
    <row r="13">
      <c r="B13" s="5" t="inlineStr">
        <is>
          <t>24-month opex</t>
        </is>
      </c>
      <c r="C13" s="7">
        <f>'05_Ramp'!D45</f>
        <v>180000</v>
      </c>
      <c r="D13" s="7">
        <f>'05_Ramp'!D90</f>
        <v>198000</v>
      </c>
      <c r="E13" s="7">
        <f>'05_Ramp'!D135</f>
        <v>244800</v>
      </c>
    </row>
    <row r="14">
      <c r="B14" s="5" t="inlineStr">
        <is>
          <t>24-month gross profit</t>
        </is>
      </c>
      <c r="C14" s="7">
        <f>'05_Ramp'!D46</f>
        <v>122237.6866384</v>
      </c>
      <c r="D14" s="7">
        <f>'05_Ramp'!D91</f>
        <v>159176.71455999996</v>
      </c>
      <c r="E14" s="7">
        <f>'05_Ramp'!D136</f>
        <v>321833.5798384</v>
      </c>
    </row>
    <row r="15">
      <c r="B15" s="5" t="inlineStr">
        <is>
          <t>24-month net cash</t>
        </is>
      </c>
      <c r="C15" s="7">
        <f>'05_Ramp'!D47</f>
        <v>-57762.31336160003</v>
      </c>
      <c r="D15" s="7">
        <f>'05_Ramp'!D92</f>
        <v>-38823.28544000003</v>
      </c>
      <c r="E15" s="7">
        <f>'05_Ramp'!D137</f>
        <v>77033.57983839995</v>
      </c>
    </row>
    <row r="16">
      <c r="B16" s="5" t="inlineStr">
        <is>
          <t>Peak funding need</t>
        </is>
      </c>
      <c r="C16" s="7">
        <f>'05_Ramp'!D48</f>
        <v>-80866.8349136</v>
      </c>
      <c r="D16" s="7">
        <f>'05_Ramp'!D93</f>
        <v>-63960.97207840002</v>
      </c>
      <c r="E16" s="7">
        <f>'05_Ramp'!D138</f>
        <v>-54123.86961200001</v>
      </c>
    </row>
    <row r="17">
      <c r="B17" s="5" t="inlineStr">
        <is>
          <t>First profitable month</t>
        </is>
      </c>
      <c r="C17" s="7" t="str">
        <f>'05_Ramp'!D49</f>
        <v>17</v>
      </c>
      <c r="D17" s="7" t="str">
        <f>'05_Ramp'!D94</f>
        <v>13</v>
      </c>
      <c r="E17" s="7" t="str">
        <f>'05_Ramp'!D139</f>
        <v>9</v>
      </c>
    </row>
    <row r="18">
      <c r="B18" s="5" t="inlineStr">
        <is>
          <t>Cash recovered month</t>
        </is>
      </c>
      <c r="C18" s="7" t="str">
        <f>'05_Ramp'!D50</f>
        <v>beyond 24</v>
      </c>
      <c r="D18" s="7" t="str">
        <f>'05_Ramp'!D95</f>
        <v>beyond 24</v>
      </c>
      <c r="E18" s="7" t="str">
        <f>'05_Ramp'!D140</f>
        <v>20</v>
      </c>
    </row>
    <row r="20">
      <c r="B20" s="3" t="inlineStr">
        <is>
          <t>Reading the model</t>
        </is>
      </c>
    </row>
    <row r="21">
      <c r="B21" s="5" t="inlineStr">
        <is>
          <t>•  Base case turns cash-flow-positive in month 13 and holds a positive MRR for the rest of the window — but cumulative cash is still below zero at month 24 because of the pre-launch burn. Peak requirement, not burn rate, is the number that matters.</t>
        </is>
      </c>
    </row>
    <row r="22">
      <c r="B22" s="5" t="inlineStr">
        <is>
          <t>•  Conservative is the honest downside: slower selling and higher churn. It does not recover the pre-launch spend inside 24 months — which is the real reason to raise or to pre-sell.</t>
        </is>
      </c>
    </row>
    <row r="23">
      <c r="B23" s="5" t="inlineStr">
        <is>
          <t>•  Aggressive is not a plan. It is what happens if the OTA-messaging wedge lands early.</t>
        </is>
      </c>
    </row>
    <row r="24">
      <c r="B24" s="5" t="inlineStr">
        <is>
          <t>•  In every scenario the constraint that binds first is founder selling time, then support hours — not capital.</t>
        </is>
      </c>
    </row>
  </sheetData>
  <mergeCells count="4">
    <mergeCell ref="B21:F21"/>
    <mergeCell ref="B23:F23"/>
    <mergeCell ref="B22:F22"/>
    <mergeCell ref="B24:F2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I80"/>
  <sheetViews>
    <sheetView showGridLines="0" workbookViewId="0">
      <selection activeCell="A1" sqref="A1"/>
    </sheetView>
  </sheetViews>
  <sheetFormatPr baseColWidth="8" defaultRowHeight="15"/>
  <cols>
    <col width="3" customWidth="1" min="1" max="1"/>
    <col width="62" customWidth="1" min="2" max="2"/>
    <col width="16" customWidth="1" min="3" max="3"/>
    <col width="16" customWidth="1" min="4" max="4"/>
    <col width="16" customWidth="1" min="5" max="5"/>
    <col width="16" customWidth="1" min="6" max="6"/>
    <col width="16" customWidth="1" min="7" max="7"/>
    <col width="14" customWidth="1" min="8" max="8"/>
    <col width="14" customWidth="1" min="9" max="9"/>
  </cols>
  <sheetData>
    <row r="2">
      <c r="B2" s="1" t="inlineStr">
        <is>
          <t>Sensitivity — where the model breaks</t>
        </is>
      </c>
    </row>
    <row r="3">
      <c r="B3" s="2" t="inlineStr">
        <is>
          <t>The four assumptions that actually move the outcome: support load, churn, price and WhatsApp market.</t>
        </is>
      </c>
    </row>
    <row r="5">
      <c r="B5" s="3" t="inlineStr">
        <is>
          <t>A. Gross margin vs support hours per property per month</t>
        </is>
      </c>
    </row>
    <row r="6" ht="32" customHeight="1">
      <c r="B6" s="15" t="inlineStr">
        <is>
          <t>Support hrs / mo</t>
        </is>
      </c>
      <c r="C6" s="15" t="inlineStr">
        <is>
          <t>T1 ($299)</t>
        </is>
      </c>
      <c r="D6" s="15" t="inlineStr">
        <is>
          <t>T2 ($349)</t>
        </is>
      </c>
      <c r="E6" s="15" t="inlineStr">
        <is>
          <t>T3 ($449)</t>
        </is>
      </c>
      <c r="F6" s="15" t="inlineStr">
        <is>
          <t>T4 ($699)</t>
        </is>
      </c>
      <c r="G6" s="15" t="inlineStr">
        <is>
          <t>T5 ($1,199)</t>
        </is>
      </c>
    </row>
    <row r="7">
      <c r="B7" s="12" t="n">
        <v>0.5</v>
      </c>
      <c r="C7" s="31">
        <f>('03_Unit_Economics'!E6-(('03_Unit_Economics'!H6+'03_Unit_Economics'!I6+'03_Unit_Economics'!J6+'03_Unit_Economics'!L6)+$B7*'01_Assumptions'!C6))/'03_Unit_Economics'!E6</f>
        <v>0.877064381270903</v>
      </c>
      <c r="D7" s="31">
        <f>('03_Unit_Economics'!E7-(('03_Unit_Economics'!H7+'03_Unit_Economics'!I7+'03_Unit_Economics'!J7+'03_Unit_Economics'!L7)+$B7*'01_Assumptions'!C6))/'03_Unit_Economics'!E7</f>
        <v>0.8901297994269342</v>
      </c>
      <c r="E7" s="31">
        <f>('03_Unit_Economics'!E8-(('03_Unit_Economics'!H8+'03_Unit_Economics'!I8+'03_Unit_Economics'!J8+'03_Unit_Economics'!L8)+$B7*'01_Assumptions'!C6))/'03_Unit_Economics'!E8</f>
        <v>0.9076418708240535</v>
      </c>
      <c r="F7" s="31">
        <f>('03_Unit_Economics'!E9-(('03_Unit_Economics'!H9+'03_Unit_Economics'!I9+'03_Unit_Economics'!J9+'03_Unit_Economics'!L9)+$B7*'01_Assumptions'!C6))/'03_Unit_Economics'!E9</f>
        <v>0.9251607210300429</v>
      </c>
      <c r="G7" s="31">
        <f>('03_Unit_Economics'!E10-(('03_Unit_Economics'!H10+'03_Unit_Economics'!I10+'03_Unit_Economics'!J10+'03_Unit_Economics'!L10)+$B7*'01_Assumptions'!C6))/'03_Unit_Economics'!E10</f>
        <v>0.9303619683069223</v>
      </c>
    </row>
    <row r="8">
      <c r="B8" s="12" t="n">
        <v>1</v>
      </c>
      <c r="C8" s="31">
        <f>('03_Unit_Economics'!E6-(('03_Unit_Economics'!H6+'03_Unit_Economics'!I6+'03_Unit_Economics'!J6+'03_Unit_Economics'!L6)+$B8*'01_Assumptions'!C6))/'03_Unit_Economics'!E6</f>
        <v>0.8235526755852843</v>
      </c>
      <c r="D8" s="31">
        <f>('03_Unit_Economics'!E7-(('03_Unit_Economics'!H7+'03_Unit_Economics'!I7+'03_Unit_Economics'!J7+'03_Unit_Economics'!L7)+$B8*'01_Assumptions'!C6))/'03_Unit_Economics'!E7</f>
        <v>0.8442845272206304</v>
      </c>
      <c r="E8" s="31">
        <f>('03_Unit_Economics'!E8-(('03_Unit_Economics'!H8+'03_Unit_Economics'!I8+'03_Unit_Economics'!J8+'03_Unit_Economics'!L8)+$B8*'01_Assumptions'!C6))/'03_Unit_Economics'!E8</f>
        <v>0.8720071269487751</v>
      </c>
      <c r="F8" s="31">
        <f>('03_Unit_Economics'!E9-(('03_Unit_Economics'!H9+'03_Unit_Economics'!I9+'03_Unit_Economics'!J9+'03_Unit_Economics'!L9)+$B8*'01_Assumptions'!C6))/'03_Unit_Economics'!E9</f>
        <v>0.9022708783977109</v>
      </c>
      <c r="G8" s="31">
        <f>('03_Unit_Economics'!E10-(('03_Unit_Economics'!H10+'03_Unit_Economics'!I10+'03_Unit_Economics'!J10+'03_Unit_Economics'!L10)+$B8*'01_Assumptions'!C6))/'03_Unit_Economics'!E10</f>
        <v>0.9170175145954962</v>
      </c>
    </row>
    <row r="9">
      <c r="B9" s="12" t="n">
        <v>1.5</v>
      </c>
      <c r="C9" s="31">
        <f>('03_Unit_Economics'!E6-(('03_Unit_Economics'!H6+'03_Unit_Economics'!I6+'03_Unit_Economics'!J6+'03_Unit_Economics'!L6)+$B9*'01_Assumptions'!C6))/'03_Unit_Economics'!E6</f>
        <v>0.7700409698996656</v>
      </c>
      <c r="D9" s="31">
        <f>('03_Unit_Economics'!E7-(('03_Unit_Economics'!H7+'03_Unit_Economics'!I7+'03_Unit_Economics'!J7+'03_Unit_Economics'!L7)+$B9*'01_Assumptions'!C6))/'03_Unit_Economics'!E7</f>
        <v>0.7984392550143267</v>
      </c>
      <c r="E9" s="31">
        <f>('03_Unit_Economics'!E8-(('03_Unit_Economics'!H8+'03_Unit_Economics'!I8+'03_Unit_Economics'!J8+'03_Unit_Economics'!L8)+$B9*'01_Assumptions'!C6))/'03_Unit_Economics'!E8</f>
        <v>0.8363723830734967</v>
      </c>
      <c r="F9" s="31">
        <f>('03_Unit_Economics'!E9-(('03_Unit_Economics'!H9+'03_Unit_Economics'!I9+'03_Unit_Economics'!J9+'03_Unit_Economics'!L9)+$B9*'01_Assumptions'!C6))/'03_Unit_Economics'!E9</f>
        <v>0.8793810357653791</v>
      </c>
      <c r="G9" s="31">
        <f>('03_Unit_Economics'!E10-(('03_Unit_Economics'!H10+'03_Unit_Economics'!I10+'03_Unit_Economics'!J10+'03_Unit_Economics'!L10)+$B9*'01_Assumptions'!C6))/'03_Unit_Economics'!E10</f>
        <v>0.90367306088407</v>
      </c>
    </row>
    <row r="10">
      <c r="B10" s="12" t="n">
        <v>2</v>
      </c>
      <c r="C10" s="31">
        <f>('03_Unit_Economics'!E6-(('03_Unit_Economics'!H6+'03_Unit_Economics'!I6+'03_Unit_Economics'!J6+'03_Unit_Economics'!L6)+$B10*'01_Assumptions'!C6))/'03_Unit_Economics'!E6</f>
        <v>0.7165292642140468</v>
      </c>
      <c r="D10" s="31">
        <f>('03_Unit_Economics'!E7-(('03_Unit_Economics'!H7+'03_Unit_Economics'!I7+'03_Unit_Economics'!J7+'03_Unit_Economics'!L7)+$B10*'01_Assumptions'!C6))/'03_Unit_Economics'!E7</f>
        <v>0.7525939828080229</v>
      </c>
      <c r="E10" s="31">
        <f>('03_Unit_Economics'!E8-(('03_Unit_Economics'!H8+'03_Unit_Economics'!I8+'03_Unit_Economics'!J8+'03_Unit_Economics'!L8)+$B10*'01_Assumptions'!C6))/'03_Unit_Economics'!E8</f>
        <v>0.8007376391982183</v>
      </c>
      <c r="F10" s="31">
        <f>('03_Unit_Economics'!E9-(('03_Unit_Economics'!H9+'03_Unit_Economics'!I9+'03_Unit_Economics'!J9+'03_Unit_Economics'!L9)+$B10*'01_Assumptions'!C6))/'03_Unit_Economics'!E9</f>
        <v>0.8564911931330471</v>
      </c>
      <c r="G10" s="31">
        <f>('03_Unit_Economics'!E10-(('03_Unit_Economics'!H10+'03_Unit_Economics'!I10+'03_Unit_Economics'!J10+'03_Unit_Economics'!L10)+$B10*'01_Assumptions'!C6))/'03_Unit_Economics'!E10</f>
        <v>0.8903286071726438</v>
      </c>
    </row>
    <row r="11">
      <c r="B11" s="12" t="n">
        <v>3</v>
      </c>
      <c r="C11" s="31">
        <f>('03_Unit_Economics'!E6-(('03_Unit_Economics'!H6+'03_Unit_Economics'!I6+'03_Unit_Economics'!J6+'03_Unit_Economics'!L6)+$B11*'01_Assumptions'!C6))/'03_Unit_Economics'!E6</f>
        <v>0.6095058528428094</v>
      </c>
      <c r="D11" s="31">
        <f>('03_Unit_Economics'!E7-(('03_Unit_Economics'!H7+'03_Unit_Economics'!I7+'03_Unit_Economics'!J7+'03_Unit_Economics'!L7)+$B11*'01_Assumptions'!C6))/'03_Unit_Economics'!E7</f>
        <v>0.6609034383954155</v>
      </c>
      <c r="E11" s="31">
        <f>('03_Unit_Economics'!E8-(('03_Unit_Economics'!H8+'03_Unit_Economics'!I8+'03_Unit_Economics'!J8+'03_Unit_Economics'!L8)+$B11*'01_Assumptions'!C6))/'03_Unit_Economics'!E8</f>
        <v>0.7294681514476615</v>
      </c>
      <c r="F11" s="31">
        <f>('03_Unit_Economics'!E9-(('03_Unit_Economics'!H9+'03_Unit_Economics'!I9+'03_Unit_Economics'!J9+'03_Unit_Economics'!L9)+$B11*'01_Assumptions'!C6))/'03_Unit_Economics'!E9</f>
        <v>0.8107115078683833</v>
      </c>
      <c r="G11" s="31">
        <f>('03_Unit_Economics'!E10-(('03_Unit_Economics'!H10+'03_Unit_Economics'!I10+'03_Unit_Economics'!J10+'03_Unit_Economics'!L10)+$B11*'01_Assumptions'!C6))/'03_Unit_Economics'!E10</f>
        <v>0.8636396997497914</v>
      </c>
    </row>
    <row r="12">
      <c r="B12" s="12" t="n">
        <v>4</v>
      </c>
      <c r="C12" s="31">
        <f>('03_Unit_Economics'!E6-(('03_Unit_Economics'!H6+'03_Unit_Economics'!I6+'03_Unit_Economics'!J6+'03_Unit_Economics'!L6)+$B12*'01_Assumptions'!C6))/'03_Unit_Economics'!E6</f>
        <v>0.502482441471572</v>
      </c>
      <c r="D12" s="31">
        <f>('03_Unit_Economics'!E7-(('03_Unit_Economics'!H7+'03_Unit_Economics'!I7+'03_Unit_Economics'!J7+'03_Unit_Economics'!L7)+$B12*'01_Assumptions'!C6))/'03_Unit_Economics'!E7</f>
        <v>0.569212893982808</v>
      </c>
      <c r="E12" s="31">
        <f>('03_Unit_Economics'!E8-(('03_Unit_Economics'!H8+'03_Unit_Economics'!I8+'03_Unit_Economics'!J8+'03_Unit_Economics'!L8)+$B12*'01_Assumptions'!C6))/'03_Unit_Economics'!E8</f>
        <v>0.6581986636971047</v>
      </c>
      <c r="F12" s="31">
        <f>('03_Unit_Economics'!E9-(('03_Unit_Economics'!H9+'03_Unit_Economics'!I9+'03_Unit_Economics'!J9+'03_Unit_Economics'!L9)+$B12*'01_Assumptions'!C6))/'03_Unit_Economics'!E9</f>
        <v>0.7649318226037195</v>
      </c>
      <c r="G12" s="31">
        <f>('03_Unit_Economics'!E10-(('03_Unit_Economics'!H10+'03_Unit_Economics'!I10+'03_Unit_Economics'!J10+'03_Unit_Economics'!L10)+$B12*'01_Assumptions'!C6))/'03_Unit_Economics'!E10</f>
        <v>0.8369507923269391</v>
      </c>
    </row>
    <row r="14">
      <c r="B14" s="3" t="inlineStr">
        <is>
          <t>B. LTV / CAC by monthly churn and property size</t>
        </is>
      </c>
    </row>
    <row r="15" ht="28" customHeight="1">
      <c r="B15" s="15" t="inlineStr">
        <is>
          <t>Monthly churn</t>
        </is>
      </c>
      <c r="C15" s="15" t="inlineStr">
        <is>
          <t>T1</t>
        </is>
      </c>
      <c r="D15" s="15" t="inlineStr">
        <is>
          <t>T2</t>
        </is>
      </c>
      <c r="E15" s="15" t="inlineStr">
        <is>
          <t>T3</t>
        </is>
      </c>
      <c r="F15" s="15" t="inlineStr">
        <is>
          <t>T4</t>
        </is>
      </c>
      <c r="G15" s="15" t="inlineStr">
        <is>
          <t>T5</t>
        </is>
      </c>
    </row>
    <row r="16">
      <c r="B16" s="13" t="n">
        <v>0.01</v>
      </c>
      <c r="C16" s="21">
        <f>('03_Unit_Economics'!N6/$B16)/'03_Unit_Economics'!X6</f>
        <v>27.715805555555555</v>
      </c>
      <c r="D16" s="21">
        <f>('03_Unit_Economics'!N7/$B16)/'03_Unit_Economics'!X7</f>
        <v>32.38392222222222</v>
      </c>
      <c r="E16" s="21">
        <f>('03_Unit_Economics'!N8/$B16)/'03_Unit_Economics'!X8</f>
        <v>42.08124444444445</v>
      </c>
      <c r="F16" s="21">
        <f>('03_Unit_Economics'!N9/$B16)/'03_Unit_Economics'!X9</f>
        <v>66.87637155555555</v>
      </c>
      <c r="G16" s="21">
        <f>('03_Unit_Economics'!N10/$B16)/'03_Unit_Economics'!X10</f>
        <v>115.7671111111111</v>
      </c>
    </row>
    <row r="17">
      <c r="B17" s="13" t="n">
        <v>0.015</v>
      </c>
      <c r="C17" s="21">
        <f>('03_Unit_Economics'!N6/$B17)/'03_Unit_Economics'!X6</f>
        <v>18.477203703703704</v>
      </c>
      <c r="D17" s="21">
        <f>('03_Unit_Economics'!N7/$B17)/'03_Unit_Economics'!X7</f>
        <v>21.589281481481482</v>
      </c>
      <c r="E17" s="21">
        <f>('03_Unit_Economics'!N8/$B17)/'03_Unit_Economics'!X8</f>
        <v>28.054162962962963</v>
      </c>
      <c r="F17" s="21">
        <f>('03_Unit_Economics'!N9/$B17)/'03_Unit_Economics'!X9</f>
        <v>44.58424770370371</v>
      </c>
      <c r="G17" s="21">
        <f>('03_Unit_Economics'!N10/$B17)/'03_Unit_Economics'!X10</f>
        <v>77.17807407407408</v>
      </c>
    </row>
    <row r="18">
      <c r="B18" s="13" t="n">
        <v>0.02</v>
      </c>
      <c r="C18" s="21">
        <f>('03_Unit_Economics'!N6/$B18)/'03_Unit_Economics'!X6</f>
        <v>13.857902777777777</v>
      </c>
      <c r="D18" s="21">
        <f>('03_Unit_Economics'!N7/$B18)/'03_Unit_Economics'!X7</f>
        <v>16.19196111111111</v>
      </c>
      <c r="E18" s="21">
        <f>('03_Unit_Economics'!N8/$B18)/'03_Unit_Economics'!X8</f>
        <v>21.040622222222225</v>
      </c>
      <c r="F18" s="21">
        <f>('03_Unit_Economics'!N9/$B18)/'03_Unit_Economics'!X9</f>
        <v>33.438185777777775</v>
      </c>
      <c r="G18" s="21">
        <f>('03_Unit_Economics'!N10/$B18)/'03_Unit_Economics'!X10</f>
        <v>57.88355555555555</v>
      </c>
    </row>
    <row r="19">
      <c r="B19" s="13" t="n">
        <v>0.025</v>
      </c>
      <c r="C19" s="21">
        <f>('03_Unit_Economics'!N6/$B19)/'03_Unit_Economics'!X6</f>
        <v>11.08632222222222</v>
      </c>
      <c r="D19" s="21">
        <f>('03_Unit_Economics'!N7/$B19)/'03_Unit_Economics'!X7</f>
        <v>12.953568888888887</v>
      </c>
      <c r="E19" s="21">
        <f>('03_Unit_Economics'!N8/$B19)/'03_Unit_Economics'!X8</f>
        <v>16.83249777777778</v>
      </c>
      <c r="F19" s="21">
        <f>('03_Unit_Economics'!N9/$B19)/'03_Unit_Economics'!X9</f>
        <v>26.75054862222222</v>
      </c>
      <c r="G19" s="21">
        <f>('03_Unit_Economics'!N10/$B19)/'03_Unit_Economics'!X10</f>
        <v>46.30684444444444</v>
      </c>
    </row>
    <row r="20">
      <c r="B20" s="13" t="n">
        <v>0.03</v>
      </c>
      <c r="C20" s="21">
        <f>('03_Unit_Economics'!N6/$B20)/'03_Unit_Economics'!X6</f>
        <v>9.238601851851852</v>
      </c>
      <c r="D20" s="21">
        <f>('03_Unit_Economics'!N7/$B20)/'03_Unit_Economics'!X7</f>
        <v>10.794640740740741</v>
      </c>
      <c r="E20" s="21">
        <f>('03_Unit_Economics'!N8/$B20)/'03_Unit_Economics'!X8</f>
        <v>14.027081481481481</v>
      </c>
      <c r="F20" s="21">
        <f>('03_Unit_Economics'!N9/$B20)/'03_Unit_Economics'!X9</f>
        <v>22.292123851851855</v>
      </c>
      <c r="G20" s="21">
        <f>('03_Unit_Economics'!N10/$B20)/'03_Unit_Economics'!X10</f>
        <v>38.58903703703704</v>
      </c>
    </row>
    <row r="21">
      <c r="B21" s="13" t="n">
        <v>0.04</v>
      </c>
      <c r="C21" s="21">
        <f>('03_Unit_Economics'!N6/$B21)/'03_Unit_Economics'!X6</f>
        <v>6.928951388888889</v>
      </c>
      <c r="D21" s="21">
        <f>('03_Unit_Economics'!N7/$B21)/'03_Unit_Economics'!X7</f>
        <v>8.095980555555554</v>
      </c>
      <c r="E21" s="21">
        <f>('03_Unit_Economics'!N8/$B21)/'03_Unit_Economics'!X8</f>
        <v>10.520311111111113</v>
      </c>
      <c r="F21" s="21">
        <f>('03_Unit_Economics'!N9/$B21)/'03_Unit_Economics'!X9</f>
        <v>16.719092888888888</v>
      </c>
      <c r="G21" s="21">
        <f>('03_Unit_Economics'!N10/$B21)/'03_Unit_Economics'!X10</f>
        <v>28.941777777777776</v>
      </c>
    </row>
    <row r="22">
      <c r="B22" s="13" t="n">
        <v>0.05</v>
      </c>
      <c r="C22" s="21">
        <f>('03_Unit_Economics'!N6/$B22)/'03_Unit_Economics'!X6</f>
        <v>5.54316111111111</v>
      </c>
      <c r="D22" s="21">
        <f>('03_Unit_Economics'!N7/$B22)/'03_Unit_Economics'!X7</f>
        <v>6.476784444444443</v>
      </c>
      <c r="E22" s="21">
        <f>('03_Unit_Economics'!N8/$B22)/'03_Unit_Economics'!X8</f>
        <v>8.41624888888889</v>
      </c>
      <c r="F22" s="21">
        <f>('03_Unit_Economics'!N9/$B22)/'03_Unit_Economics'!X9</f>
        <v>13.37527431111111</v>
      </c>
      <c r="G22" s="21">
        <f>('03_Unit_Economics'!N10/$B22)/'03_Unit_Economics'!X10</f>
        <v>23.15342222222222</v>
      </c>
    </row>
    <row r="23">
      <c r="B23" s="13" t="n">
        <v>0.07000000000000001</v>
      </c>
      <c r="C23" s="21">
        <f>('03_Unit_Economics'!N6/$B23)/'03_Unit_Economics'!X6</f>
        <v>3.959400793650793</v>
      </c>
      <c r="D23" s="21">
        <f>('03_Unit_Economics'!N7/$B23)/'03_Unit_Economics'!X7</f>
        <v>4.626274603174602</v>
      </c>
      <c r="E23" s="21">
        <f>('03_Unit_Economics'!N8/$B23)/'03_Unit_Economics'!X8</f>
        <v>6.011606349206349</v>
      </c>
      <c r="F23" s="21">
        <f>('03_Unit_Economics'!N9/$B23)/'03_Unit_Economics'!X9</f>
        <v>9.553767365079365</v>
      </c>
      <c r="G23" s="21">
        <f>('03_Unit_Economics'!N10/$B23)/'03_Unit_Economics'!X10</f>
        <v>16.538158730158727</v>
      </c>
    </row>
    <row r="25">
      <c r="B25" s="3" t="inlineStr">
        <is>
          <t>C. How many properties cover fixed opex</t>
        </is>
      </c>
    </row>
    <row r="26">
      <c r="B26" s="5" t="inlineStr">
        <is>
          <t>Blended gross profit / property / month</t>
        </is>
      </c>
      <c r="C26" s="35">
        <f>'01_Assumptions'!C43</f>
        <v>371.69178639999996</v>
      </c>
    </row>
    <row r="27">
      <c r="B27" s="5" t="inlineStr">
        <is>
          <t>Fixed opex (base)</t>
        </is>
      </c>
      <c r="C27" s="7">
        <f>'01_Assumptions'!C36</f>
        <v>7200</v>
      </c>
    </row>
    <row r="28">
      <c r="B28" s="5" t="inlineStr">
        <is>
          <t>Properties needed to cover base opex</t>
        </is>
      </c>
      <c r="C28" s="8">
        <f>C27/C26</f>
        <v>19.370888094502163</v>
      </c>
    </row>
    <row r="29">
      <c r="B29" s="5" t="inlineStr">
        <is>
          <t>Properties needed once step 1 triggers</t>
        </is>
      </c>
      <c r="C29" s="8">
        <f>(C27+'01_Assumptions'!C37)/C26</f>
        <v>29.056332141753245</v>
      </c>
    </row>
    <row r="30">
      <c r="B30" s="5" t="inlineStr">
        <is>
          <t>Properties needed once step 2 triggers</t>
        </is>
      </c>
      <c r="C30" s="8">
        <f>(C27+2*'01_Assumptions'!C37)/C26</f>
        <v>38.74177618900433</v>
      </c>
    </row>
    <row r="31">
      <c r="B31" s="5" t="inlineStr">
        <is>
          <t>MRR at step-1 breakeven</t>
        </is>
      </c>
      <c r="C31" s="7">
        <f>C29*'01_Assumptions'!C41</f>
        <v>12770.257976300549</v>
      </c>
    </row>
    <row r="32">
      <c r="B32" s="5" t="inlineStr">
        <is>
          <t>Support hours / month at 1st step breakeven</t>
        </is>
      </c>
      <c r="C32" s="8">
        <f>C29*'03_Unit_Economics'!S12</f>
        <v>37.598893791428694</v>
      </c>
    </row>
    <row r="33">
      <c r="B33" s="5" t="inlineStr">
        <is>
          <t>Support hours / month at 2nd step breakeven</t>
        </is>
      </c>
      <c r="C33" s="8">
        <f>C30*'03_Unit_Economics'!S12</f>
        <v>50.131858388571594</v>
      </c>
    </row>
    <row r="34">
      <c r="B34" s="5" t="inlineStr">
        <is>
          <t>Support hours / week at 1st step breakeven</t>
        </is>
      </c>
      <c r="C34" s="8">
        <f>C32*12/52</f>
        <v>8.676667798022006</v>
      </c>
    </row>
    <row r="35">
      <c r="B35" s="3" t="inlineStr">
        <is>
          <t>D. WhatsApp cost per property per month — Mexico vs Germany</t>
        </is>
      </c>
    </row>
    <row r="36" ht="26" customHeight="1">
      <c r="B36" s="15" t="inlineStr">
        <is>
          <t>Size</t>
        </is>
      </c>
      <c r="C36" s="15" t="inlineStr">
        <is>
          <t>Mexico</t>
        </is>
      </c>
      <c r="D36" s="15" t="inlineStr">
        <is>
          <t>Germany</t>
        </is>
      </c>
    </row>
    <row r="37">
      <c r="B37" s="5" t="str">
        <f>'02_Property_Sizes'!B17</f>
        <v>T1</v>
      </c>
      <c r="C37" s="20">
        <f>'04_Messaging_Costs'!C18</f>
        <v>0</v>
      </c>
      <c r="D37" s="20" t="str">
        <f>'04_Messaging_Costs'!F18</f>
        <v>#VALUE!</v>
      </c>
    </row>
    <row r="38">
      <c r="B38" s="5" t="str">
        <f>'02_Property_Sizes'!B18</f>
        <v>T2</v>
      </c>
      <c r="C38" s="20">
        <f>'04_Messaging_Costs'!C19</f>
        <v>0</v>
      </c>
      <c r="D38" s="20" t="str">
        <f>'04_Messaging_Costs'!F19</f>
        <v>#VALUE!</v>
      </c>
    </row>
    <row r="39">
      <c r="B39" s="5" t="str">
        <f>'02_Property_Sizes'!B19</f>
        <v>T3</v>
      </c>
      <c r="C39" s="20">
        <f>'04_Messaging_Costs'!C20</f>
        <v>0</v>
      </c>
      <c r="D39" s="20" t="str">
        <f>'04_Messaging_Costs'!F20</f>
        <v>#VALUE!</v>
      </c>
    </row>
    <row r="40">
      <c r="B40" s="5" t="str">
        <f>'02_Property_Sizes'!B20</f>
        <v>T4</v>
      </c>
      <c r="C40" s="20">
        <f>'04_Messaging_Costs'!C21</f>
        <v>14.924659199999999</v>
      </c>
      <c r="D40" s="20" t="str">
        <f>'04_Messaging_Costs'!F21</f>
        <v>#VALUE!</v>
      </c>
    </row>
    <row r="41">
      <c r="B41" s="5" t="str">
        <f>'02_Property_Sizes'!B21</f>
        <v>T5</v>
      </c>
      <c r="C41" s="20">
        <f>'04_Messaging_Costs'!C22</f>
        <v>89.02725</v>
      </c>
      <c r="D41" s="20" t="str">
        <f>'04_Messaging_Costs'!F22</f>
        <v>#VALUE!</v>
      </c>
    </row>
    <row r="43">
      <c r="B43" s="3" t="inlineStr">
        <is>
          <t>E. What breaks the model</t>
        </is>
      </c>
    </row>
    <row r="44">
      <c r="B44" s="5" t="inlineStr">
        <is>
          <t>•  Support above roughly 4 hours per property per month destroys T1 gross margin (see table A). This is precisely why the onboarding wizard, coverage score and weekly knowledge-gap email exist — they are support-cost reduction, not features.</t>
        </is>
      </c>
    </row>
    <row r="45">
      <c r="B45" s="5" t="inlineStr">
        <is>
          <t>•  At 5% monthly churn, LTV/CAC falls under 5x at every size (see B). Churn is the most dangerous variable and the one the weekly gap email improves fastest.</t>
        </is>
      </c>
    </row>
    <row r="46">
      <c r="B46" s="5" t="inlineStr">
        <is>
          <t>•  No realistic WhatsApp rate makes messaging a margin problem below ~2,500 messages/month. Stop worrying about it, and stop over-optimising model cost.</t>
        </is>
      </c>
    </row>
    <row r="47">
      <c r="B47" s="5" t="inlineStr">
        <is>
          <t>•  Waiving the setup fee on T4/T5 converts profitable onboarding into a loss: the fee funds the knowledge work.</t>
        </is>
      </c>
    </row>
    <row r="48">
      <c r="B48" s="3" t="inlineStr">
        <is>
          <t>Support-hours multiplier — labour at $32/h</t>
        </is>
      </c>
    </row>
    <row r="49" ht="28" customHeight="1">
      <c r="B49" s="15" t="inlineStr">
        <is>
          <t>Multiplier</t>
        </is>
      </c>
      <c r="C49" s="15" t="inlineStr">
        <is>
          <t>T1 ($299)</t>
        </is>
      </c>
      <c r="D49" s="15" t="inlineStr">
        <is>
          <t>T3 ($449)</t>
        </is>
      </c>
      <c r="E49" s="15" t="inlineStr">
        <is>
          <t>T5 ($1,199)</t>
        </is>
      </c>
    </row>
    <row r="50">
      <c r="B50" s="12" t="n">
        <v>1</v>
      </c>
      <c r="C50" s="31">
        <f>('03_Unit_Economics'!E6-(('03_Unit_Economics'!H6+'03_Unit_Economics'!I6+'03_Unit_Economics'!J6+'03_Unit_Economics'!L6)+'03_Unit_Economics'!S6*$B50*32))/'03_Unit_Economics'!E6</f>
        <v>0.834255016722408</v>
      </c>
      <c r="D50" s="31">
        <f>('03_Unit_Economics'!E8-(('03_Unit_Economics'!H8+'03_Unit_Economics'!I8+'03_Unit_Economics'!J8+'03_Unit_Economics'!L8)+'03_Unit_Economics'!S8*$B50*32))/'03_Unit_Economics'!E8</f>
        <v>0.8434993318485523</v>
      </c>
      <c r="E50" s="31">
        <f>('03_Unit_Economics'!E10-(('03_Unit_Economics'!H10+'03_Unit_Economics'!I10+'03_Unit_Economics'!J10+'03_Unit_Economics'!L10)+'03_Unit_Economics'!S10*$B50*32))/'03_Unit_Economics'!E10</f>
        <v>0.8689774812343619</v>
      </c>
    </row>
    <row r="51">
      <c r="B51" s="12" t="n">
        <v>1.5</v>
      </c>
      <c r="C51" s="31">
        <f>('03_Unit_Economics'!E6-(('03_Unit_Economics'!H6+'03_Unit_Economics'!I6+'03_Unit_Economics'!J6+'03_Unit_Economics'!L6)+'03_Unit_Economics'!S6*$B51*32))/'03_Unit_Economics'!E6</f>
        <v>0.7860944816053511</v>
      </c>
      <c r="D51" s="31">
        <f>('03_Unit_Economics'!E8-(('03_Unit_Economics'!H8+'03_Unit_Economics'!I8+'03_Unit_Economics'!J8+'03_Unit_Economics'!L8)+'03_Unit_Economics'!S8*$B51*32))/'03_Unit_Economics'!E8</f>
        <v>0.7936106904231627</v>
      </c>
      <c r="E51" s="31">
        <f>('03_Unit_Economics'!E10-(('03_Unit_Economics'!H10+'03_Unit_Economics'!I10+'03_Unit_Economics'!J10+'03_Unit_Economics'!L10)+'03_Unit_Economics'!S10*$B51*32))/'03_Unit_Economics'!E10</f>
        <v>0.8316130108423687</v>
      </c>
    </row>
    <row r="52">
      <c r="B52" s="12" t="n">
        <v>2</v>
      </c>
      <c r="C52" s="31">
        <f>('03_Unit_Economics'!E6-(('03_Unit_Economics'!H6+'03_Unit_Economics'!I6+'03_Unit_Economics'!J6+'03_Unit_Economics'!L6)+'03_Unit_Economics'!S6*$B52*32))/'03_Unit_Economics'!E6</f>
        <v>0.7379339464882942</v>
      </c>
      <c r="D52" s="31">
        <f>('03_Unit_Economics'!E8-(('03_Unit_Economics'!H8+'03_Unit_Economics'!I8+'03_Unit_Economics'!J8+'03_Unit_Economics'!L8)+'03_Unit_Economics'!S8*$B52*32))/'03_Unit_Economics'!E8</f>
        <v>0.7437220489977728</v>
      </c>
      <c r="E52" s="31">
        <f>('03_Unit_Economics'!E10-(('03_Unit_Economics'!H10+'03_Unit_Economics'!I10+'03_Unit_Economics'!J10+'03_Unit_Economics'!L10)+'03_Unit_Economics'!S10*$B52*32))/'03_Unit_Economics'!E10</f>
        <v>0.7942485404503753</v>
      </c>
    </row>
    <row r="53">
      <c r="B53" s="12" t="n">
        <v>2.5</v>
      </c>
      <c r="C53" s="31">
        <f>('03_Unit_Economics'!E6-(('03_Unit_Economics'!H6+'03_Unit_Economics'!I6+'03_Unit_Economics'!J6+'03_Unit_Economics'!L6)+'03_Unit_Economics'!S6*$B53*32))/'03_Unit_Economics'!E6</f>
        <v>0.6897734113712375</v>
      </c>
      <c r="D53" s="31">
        <f>('03_Unit_Economics'!E8-(('03_Unit_Economics'!H8+'03_Unit_Economics'!I8+'03_Unit_Economics'!J8+'03_Unit_Economics'!L8)+'03_Unit_Economics'!S8*$B53*32))/'03_Unit_Economics'!E8</f>
        <v>0.6938334075723831</v>
      </c>
      <c r="E53" s="31">
        <f>('03_Unit_Economics'!E10-(('03_Unit_Economics'!H10+'03_Unit_Economics'!I10+'03_Unit_Economics'!J10+'03_Unit_Economics'!L10)+'03_Unit_Economics'!S10*$B53*32))/'03_Unit_Economics'!E10</f>
        <v>0.756884070058382</v>
      </c>
    </row>
    <row r="57">
      <c r="B57" s="3" t="inlineStr">
        <is>
          <t>Support-hours multiplier — labour at $60/h (contractor / US-EU)</t>
        </is>
      </c>
    </row>
    <row r="58" ht="28" customHeight="1">
      <c r="B58" s="15" t="inlineStr">
        <is>
          <t>Multiplier</t>
        </is>
      </c>
      <c r="C58" s="15" t="inlineStr">
        <is>
          <t>T1 ($299)</t>
        </is>
      </c>
      <c r="D58" s="15" t="inlineStr">
        <is>
          <t>T3 ($449)</t>
        </is>
      </c>
      <c r="E58" s="15" t="inlineStr">
        <is>
          <t>T5 ($1,199)</t>
        </is>
      </c>
    </row>
    <row r="59">
      <c r="B59" s="12" t="n">
        <v>1</v>
      </c>
      <c r="C59" s="31">
        <f>('03_Unit_Economics'!E6-(('03_Unit_Economics'!H6+'03_Unit_Economics'!I6+'03_Unit_Economics'!J6+'03_Unit_Economics'!L6)+'03_Unit_Economics'!S6*$B59*60))/'03_Unit_Economics'!E6</f>
        <v>0.7499740802675585</v>
      </c>
      <c r="D59" s="31">
        <f>('03_Unit_Economics'!E8-(('03_Unit_Economics'!H8+'03_Unit_Economics'!I8+'03_Unit_Economics'!J8+'03_Unit_Economics'!L8)+'03_Unit_Economics'!S8*$B59*60))/'03_Unit_Economics'!E8</f>
        <v>0.7561942093541203</v>
      </c>
      <c r="E59" s="31">
        <f>('03_Unit_Economics'!E10-(('03_Unit_Economics'!H10+'03_Unit_Economics'!I10+'03_Unit_Economics'!J10+'03_Unit_Economics'!L10)+'03_Unit_Economics'!S10*$B59*60))/'03_Unit_Economics'!E10</f>
        <v>0.8035896580483737</v>
      </c>
    </row>
    <row r="60">
      <c r="B60" s="12" t="n">
        <v>1.5</v>
      </c>
      <c r="C60" s="31">
        <f>('03_Unit_Economics'!E6-(('03_Unit_Economics'!H6+'03_Unit_Economics'!I6+'03_Unit_Economics'!J6+'03_Unit_Economics'!L6)+'03_Unit_Economics'!S6*$B60*60))/'03_Unit_Economics'!E6</f>
        <v>0.659673076923077</v>
      </c>
      <c r="D60" s="31">
        <f>('03_Unit_Economics'!E8-(('03_Unit_Economics'!H8+'03_Unit_Economics'!I8+'03_Unit_Economics'!J8+'03_Unit_Economics'!L8)+'03_Unit_Economics'!S8*$B60*60))/'03_Unit_Economics'!E8</f>
        <v>0.6626530066815145</v>
      </c>
      <c r="E60" s="31">
        <f>('03_Unit_Economics'!E10-(('03_Unit_Economics'!H10+'03_Unit_Economics'!I10+'03_Unit_Economics'!J10+'03_Unit_Economics'!L10)+'03_Unit_Economics'!S10*$B60*60))/'03_Unit_Economics'!E10</f>
        <v>0.7335312760633862</v>
      </c>
    </row>
    <row r="61">
      <c r="B61" s="12" t="n">
        <v>2</v>
      </c>
      <c r="C61" s="31">
        <f>('03_Unit_Economics'!E6-(('03_Unit_Economics'!H6+'03_Unit_Economics'!I6+'03_Unit_Economics'!J6+'03_Unit_Economics'!L6)+'03_Unit_Economics'!S6*$B61*60))/'03_Unit_Economics'!E6</f>
        <v>0.5693720735785953</v>
      </c>
      <c r="D61" s="31">
        <f>('03_Unit_Economics'!E8-(('03_Unit_Economics'!H8+'03_Unit_Economics'!I8+'03_Unit_Economics'!J8+'03_Unit_Economics'!L8)+'03_Unit_Economics'!S8*$B61*60))/'03_Unit_Economics'!E8</f>
        <v>0.5691118040089087</v>
      </c>
      <c r="E61" s="31">
        <f>('03_Unit_Economics'!E10-(('03_Unit_Economics'!H10+'03_Unit_Economics'!I10+'03_Unit_Economics'!J10+'03_Unit_Economics'!L10)+'03_Unit_Economics'!S10*$B61*60))/'03_Unit_Economics'!E10</f>
        <v>0.6634728940783987</v>
      </c>
    </row>
    <row r="62">
      <c r="B62" s="12" t="n">
        <v>2.5</v>
      </c>
      <c r="C62" s="31">
        <f>('03_Unit_Economics'!E6-(('03_Unit_Economics'!H6+'03_Unit_Economics'!I6+'03_Unit_Economics'!J6+'03_Unit_Economics'!L6)+'03_Unit_Economics'!S6*$B62*60))/'03_Unit_Economics'!E6</f>
        <v>0.47907107023411377</v>
      </c>
      <c r="D62" s="31">
        <f>('03_Unit_Economics'!E8-(('03_Unit_Economics'!H8+'03_Unit_Economics'!I8+'03_Unit_Economics'!J8+'03_Unit_Economics'!L8)+'03_Unit_Economics'!S8*$B62*60))/'03_Unit_Economics'!E8</f>
        <v>0.4755706013363029</v>
      </c>
      <c r="E62" s="31">
        <f>('03_Unit_Economics'!E10-(('03_Unit_Economics'!H10+'03_Unit_Economics'!I10+'03_Unit_Economics'!J10+'03_Unit_Economics'!L10)+'03_Unit_Economics'!S10*$B62*60))/'03_Unit_Economics'!E10</f>
        <v>0.5934145120934112</v>
      </c>
    </row>
    <row r="66">
      <c r="B66" s="3" t="inlineStr">
        <is>
          <t>Onboarding margin under high-touch multipliers (setup fee − onboarding labour at $32/h)</t>
        </is>
      </c>
    </row>
    <row r="67" ht="32" customHeight="1">
      <c r="B67" s="15" t="inlineStr">
        <is>
          <t>Onboarding hours multiplier</t>
        </is>
      </c>
      <c r="C67" s="15" t="inlineStr">
        <is>
          <t>T1</t>
        </is>
      </c>
      <c r="D67" s="15" t="inlineStr">
        <is>
          <t>T2</t>
        </is>
      </c>
      <c r="E67" s="15" t="inlineStr">
        <is>
          <t>T3</t>
        </is>
      </c>
      <c r="F67" s="15" t="inlineStr">
        <is>
          <t>T4</t>
        </is>
      </c>
      <c r="G67" s="15" t="inlineStr">
        <is>
          <t>T5</t>
        </is>
      </c>
    </row>
    <row r="68">
      <c r="B68" s="12" t="n">
        <v>1</v>
      </c>
      <c r="C68" s="22">
        <f>'03_Unit_Economics'!V6-'03_Unit_Economics'!U6*$B68</f>
        <v>420</v>
      </c>
      <c r="D68" s="22">
        <f>'03_Unit_Economics'!V7-'03_Unit_Economics'!U7*$B68</f>
        <v>404</v>
      </c>
      <c r="E68" s="22">
        <f>'03_Unit_Economics'!V8-'03_Unit_Economics'!U8*$B68</f>
        <v>372</v>
      </c>
      <c r="F68" s="22">
        <f>'03_Unit_Economics'!V9-'03_Unit_Economics'!U9*$B68</f>
        <v>574</v>
      </c>
      <c r="G68" s="22">
        <f>'03_Unit_Economics'!V10-'03_Unit_Economics'!U10*$B68</f>
        <v>760</v>
      </c>
    </row>
    <row r="69">
      <c r="B69" s="12" t="n">
        <v>1.5</v>
      </c>
      <c r="C69" s="22">
        <f>'03_Unit_Economics'!V6-'03_Unit_Economics'!U6*$B69</f>
        <v>380</v>
      </c>
      <c r="D69" s="22">
        <f>'03_Unit_Economics'!V7-'03_Unit_Economics'!U7*$B69</f>
        <v>356</v>
      </c>
      <c r="E69" s="22">
        <f>'03_Unit_Economics'!V8-'03_Unit_Economics'!U8*$B69</f>
        <v>308</v>
      </c>
      <c r="F69" s="22">
        <f>'03_Unit_Economics'!V9-'03_Unit_Economics'!U9*$B69</f>
        <v>486</v>
      </c>
      <c r="G69" s="22">
        <f>'03_Unit_Economics'!V10-'03_Unit_Economics'!U10*$B69</f>
        <v>640</v>
      </c>
    </row>
    <row r="70">
      <c r="B70" s="12" t="n">
        <v>2</v>
      </c>
      <c r="C70" s="22">
        <f>'03_Unit_Economics'!V6-'03_Unit_Economics'!U6*$B70</f>
        <v>340</v>
      </c>
      <c r="D70" s="22">
        <f>'03_Unit_Economics'!V7-'03_Unit_Economics'!U7*$B70</f>
        <v>308</v>
      </c>
      <c r="E70" s="22">
        <f>'03_Unit_Economics'!V8-'03_Unit_Economics'!U8*$B70</f>
        <v>244</v>
      </c>
      <c r="F70" s="22">
        <f>'03_Unit_Economics'!V9-'03_Unit_Economics'!U9*$B70</f>
        <v>398</v>
      </c>
      <c r="G70" s="22">
        <f>'03_Unit_Economics'!V10-'03_Unit_Economics'!U10*$B70</f>
        <v>520</v>
      </c>
    </row>
    <row r="71">
      <c r="B71" s="12" t="n">
        <v>2.5</v>
      </c>
      <c r="C71" s="22">
        <f>'03_Unit_Economics'!V6-'03_Unit_Economics'!U6*$B71</f>
        <v>300</v>
      </c>
      <c r="D71" s="22">
        <f>'03_Unit_Economics'!V7-'03_Unit_Economics'!U7*$B71</f>
        <v>260</v>
      </c>
      <c r="E71" s="22">
        <f>'03_Unit_Economics'!V8-'03_Unit_Economics'!U8*$B71</f>
        <v>180</v>
      </c>
      <c r="F71" s="22">
        <f>'03_Unit_Economics'!V9-'03_Unit_Economics'!U9*$B71</f>
        <v>310</v>
      </c>
      <c r="G71" s="22">
        <f>'03_Unit_Economics'!V10-'03_Unit_Economics'!U10*$B71</f>
        <v>400</v>
      </c>
    </row>
    <row r="74">
      <c r="B74" s="3" t="inlineStr">
        <is>
          <t>Retry / debug token inflation — extra cost per property per month</t>
        </is>
      </c>
    </row>
    <row r="75" ht="26" customHeight="1">
      <c r="B75" s="15" t="inlineStr">
        <is>
          <t>Inflation</t>
        </is>
      </c>
      <c r="C75" s="15" t="inlineStr">
        <is>
          <t>T1</t>
        </is>
      </c>
      <c r="D75" s="15" t="inlineStr">
        <is>
          <t>T2</t>
        </is>
      </c>
      <c r="E75" s="15" t="inlineStr">
        <is>
          <t>T3</t>
        </is>
      </c>
      <c r="F75" s="15" t="inlineStr">
        <is>
          <t>T4</t>
        </is>
      </c>
      <c r="G75" s="15" t="inlineStr">
        <is>
          <t>T5</t>
        </is>
      </c>
    </row>
    <row r="76">
      <c r="B76" s="13" t="n">
        <v>0.2</v>
      </c>
      <c r="C76" s="20">
        <f>'03_Unit_Economics'!I6*$B76</f>
        <v>0.03735000000000001</v>
      </c>
      <c r="D76" s="20">
        <f>'03_Unit_Economics'!I7*$B76</f>
        <v>0.06474</v>
      </c>
      <c r="E76" s="20">
        <f>'03_Unit_Economics'!I8*$B76</f>
        <v>0.10956000000000002</v>
      </c>
      <c r="F76" s="20">
        <f>'03_Unit_Economics'!I9*$B76</f>
        <v>0.18924000000000002</v>
      </c>
      <c r="G76" s="20">
        <f>'03_Unit_Economics'!I10*$B76</f>
        <v>0.35275</v>
      </c>
    </row>
    <row r="77">
      <c r="B77" s="13" t="n">
        <v>0.3</v>
      </c>
      <c r="C77" s="20">
        <f>'03_Unit_Economics'!I6*$B77</f>
        <v>0.056025000000000005</v>
      </c>
      <c r="D77" s="20">
        <f>'03_Unit_Economics'!I7*$B77</f>
        <v>0.09710999999999999</v>
      </c>
      <c r="E77" s="20">
        <f>'03_Unit_Economics'!I8*$B77</f>
        <v>0.16434</v>
      </c>
      <c r="F77" s="20">
        <f>'03_Unit_Economics'!I9*$B77</f>
        <v>0.28386</v>
      </c>
      <c r="G77" s="20">
        <f>'03_Unit_Economics'!I10*$B77</f>
        <v>0.529125</v>
      </c>
    </row>
    <row r="78">
      <c r="B78" s="13" t="n">
        <v>0.5</v>
      </c>
      <c r="C78" s="20">
        <f>'03_Unit_Economics'!I6*$B78</f>
        <v>0.09337500000000001</v>
      </c>
      <c r="D78" s="20">
        <f>'03_Unit_Economics'!I7*$B78</f>
        <v>0.16185</v>
      </c>
      <c r="E78" s="20">
        <f>'03_Unit_Economics'!I8*$B78</f>
        <v>0.27390000000000003</v>
      </c>
      <c r="F78" s="20">
        <f>'03_Unit_Economics'!I9*$B78</f>
        <v>0.4731</v>
      </c>
      <c r="G78" s="20">
        <f>'03_Unit_Economics'!I10*$B78</f>
        <v>0.881875</v>
      </c>
    </row>
    <row r="80">
      <c r="B80" s="2" t="inlineStr">
        <is>
          <t>Reading these: support load is the only variable that can take T1 from viable to marginal; onboarding multipliers are absorbed by the setup fee up to ~2.5x; token inflation is immaterial.</t>
        </is>
      </c>
    </row>
  </sheetData>
  <mergeCells count="5">
    <mergeCell ref="B44:I44"/>
    <mergeCell ref="B47:I47"/>
    <mergeCell ref="B80:I80"/>
    <mergeCell ref="B45:I45"/>
    <mergeCell ref="B46:I4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J46"/>
  <sheetViews>
    <sheetView showGridLines="0" workbookViewId="0">
      <selection activeCell="A1" sqref="A1"/>
    </sheetView>
  </sheetViews>
  <sheetFormatPr baseColWidth="8" defaultRowHeight="15"/>
  <cols>
    <col width="3" customWidth="1" min="1" max="1"/>
    <col width="48" customWidth="1" min="2" max="2"/>
    <col width="18" customWidth="1" min="3" max="3"/>
    <col width="16" customWidth="1" min="4" max="4"/>
    <col width="16" customWidth="1" min="5" max="5"/>
    <col width="14" customWidth="1" min="6" max="6"/>
    <col width="14" customWidth="1" min="7" max="7"/>
    <col width="14" customWidth="1" min="8" max="8"/>
    <col width="14" customWidth="1" min="9" max="9"/>
    <col width="14" customWidth="1" min="10" max="10"/>
  </cols>
  <sheetData>
    <row r="2">
      <c r="B2" s="1" t="inlineStr">
        <is>
          <t>Cash requirement and runway</t>
        </is>
      </c>
    </row>
    <row r="3">
      <c r="B3" s="2" t="inlineStr">
        <is>
          <t>Cumulative cash by scenario. Starts negative: pre-launch capital is spent before month 1.</t>
        </is>
      </c>
    </row>
    <row r="5" ht="26" customHeight="1">
      <c r="B5" s="15" t="inlineStr">
        <is>
          <t>Month</t>
        </is>
      </c>
      <c r="C5" s="15" t="inlineStr">
        <is>
          <t>Conservative</t>
        </is>
      </c>
      <c r="D5" s="15" t="inlineStr">
        <is>
          <t>Base</t>
        </is>
      </c>
      <c r="E5" s="15" t="inlineStr">
        <is>
          <t>Aggressive</t>
        </is>
      </c>
    </row>
    <row r="6">
      <c r="B6" s="22" t="n">
        <v>1</v>
      </c>
      <c r="C6" s="22">
        <f>'05_Ramp'!N12</f>
        <v>-24200</v>
      </c>
      <c r="D6" s="22">
        <f>'05_Ramp'!N57</f>
        <v>-24200</v>
      </c>
      <c r="E6" s="22">
        <f>'05_Ramp'!N102</f>
        <v>-24200</v>
      </c>
    </row>
    <row r="7">
      <c r="B7" s="22" t="n">
        <v>2</v>
      </c>
      <c r="C7" s="22">
        <f>'05_Ramp'!N13</f>
        <v>-30778.3082136</v>
      </c>
      <c r="D7" s="22">
        <f>'05_Ramp'!N58</f>
        <v>-30778.3082136</v>
      </c>
      <c r="E7" s="22">
        <f>'05_Ramp'!N103</f>
        <v>-30778.3082136</v>
      </c>
    </row>
    <row r="8">
      <c r="B8" s="22" t="n">
        <v>3</v>
      </c>
      <c r="C8" s="22">
        <f>'05_Ramp'!N14</f>
        <v>-36984.9246408</v>
      </c>
      <c r="D8" s="22">
        <f>'05_Ramp'!N59</f>
        <v>-36984.9246408</v>
      </c>
      <c r="E8" s="22">
        <f>'05_Ramp'!N104</f>
        <v>-36984.9246408</v>
      </c>
    </row>
    <row r="9">
      <c r="B9" s="22" t="n">
        <v>4</v>
      </c>
      <c r="C9" s="22">
        <f>'05_Ramp'!N15</f>
        <v>-42819.84928160001</v>
      </c>
      <c r="D9" s="22">
        <f>'05_Ramp'!N60</f>
        <v>-42819.84928160001</v>
      </c>
      <c r="E9" s="22">
        <f>'05_Ramp'!N105</f>
        <v>-42819.84928160001</v>
      </c>
    </row>
    <row r="10">
      <c r="B10" s="22" t="n">
        <v>5</v>
      </c>
      <c r="C10" s="22">
        <f>'05_Ramp'!N16</f>
        <v>-48283.082136000005</v>
      </c>
      <c r="D10" s="22">
        <f>'05_Ramp'!N61</f>
        <v>-48283.082136000005</v>
      </c>
      <c r="E10" s="22">
        <f>'05_Ramp'!N106</f>
        <v>-47661.390349600006</v>
      </c>
    </row>
    <row r="11">
      <c r="B11" s="22" t="n">
        <v>6</v>
      </c>
      <c r="C11" s="22">
        <f>'05_Ramp'!N17</f>
        <v>-53374.623204</v>
      </c>
      <c r="D11" s="22">
        <f>'05_Ramp'!N62</f>
        <v>-52752.931417600004</v>
      </c>
      <c r="E11" s="22">
        <f>'05_Ramp'!N107</f>
        <v>-51137.85605840001</v>
      </c>
    </row>
    <row r="12">
      <c r="B12" s="22" t="n">
        <v>7</v>
      </c>
      <c r="C12" s="22">
        <f>'05_Ramp'!N18</f>
        <v>-58094.4724856</v>
      </c>
      <c r="D12" s="22">
        <f>'05_Ramp'!N63</f>
        <v>-56479.39712640001</v>
      </c>
      <c r="E12" s="22">
        <f>'05_Ramp'!N108</f>
        <v>-53499.246408000006</v>
      </c>
    </row>
    <row r="13">
      <c r="B13" s="22" t="n">
        <v>8</v>
      </c>
      <c r="C13" s="22">
        <f>'05_Ramp'!N19</f>
        <v>-62442.629980800004</v>
      </c>
      <c r="D13" s="22">
        <f>'05_Ramp'!N64</f>
        <v>-59462.47926240001</v>
      </c>
      <c r="E13" s="22">
        <f>'05_Ramp'!N109</f>
        <v>-54123.86961200001</v>
      </c>
    </row>
    <row r="14">
      <c r="B14" s="22" t="n">
        <v>9</v>
      </c>
      <c r="C14" s="22">
        <f>'05_Ramp'!N20</f>
        <v>-66419.0956896</v>
      </c>
      <c r="D14" s="22">
        <f>'05_Ramp'!N65</f>
        <v>-61702.17782560001</v>
      </c>
      <c r="E14" s="22">
        <f>'05_Ramp'!N110</f>
        <v>-53261.72567040001</v>
      </c>
    </row>
    <row r="15">
      <c r="B15" s="22" t="n">
        <v>10</v>
      </c>
      <c r="C15" s="22">
        <f>'05_Ramp'!N21</f>
        <v>-70023.869612</v>
      </c>
      <c r="D15" s="22">
        <f>'05_Ramp'!N66</f>
        <v>-63198.49281600001</v>
      </c>
      <c r="E15" s="22">
        <f>'05_Ramp'!N111</f>
        <v>-50912.814583200015</v>
      </c>
    </row>
    <row r="16">
      <c r="B16" s="22" t="n">
        <v>11</v>
      </c>
      <c r="C16" s="22">
        <f>'05_Ramp'!N22</f>
        <v>-73256.95174799999</v>
      </c>
      <c r="D16" s="22">
        <f>'05_Ramp'!N67</f>
        <v>-63951.42423360002</v>
      </c>
      <c r="E16" s="22">
        <f>'05_Ramp'!N112</f>
        <v>-50677.13635040002</v>
      </c>
    </row>
    <row r="17">
      <c r="B17" s="22" t="n">
        <v>12</v>
      </c>
      <c r="C17" s="22">
        <f>'05_Ramp'!N23</f>
        <v>-76118.34209759999</v>
      </c>
      <c r="D17" s="22">
        <f>'05_Ramp'!N68</f>
        <v>-63960.97207840002</v>
      </c>
      <c r="E17" s="22">
        <f>'05_Ramp'!N113</f>
        <v>-48954.69097200002</v>
      </c>
    </row>
    <row r="18">
      <c r="B18" s="22" t="n">
        <v>13</v>
      </c>
      <c r="C18" s="22">
        <f>'05_Ramp'!N24</f>
        <v>-78608.04066079999</v>
      </c>
      <c r="D18" s="22">
        <f>'05_Ramp'!N69</f>
        <v>-63227.13635040002</v>
      </c>
      <c r="E18" s="22">
        <f>'05_Ramp'!N114</f>
        <v>-46117.17023440002</v>
      </c>
    </row>
    <row r="19">
      <c r="B19" s="22" t="n">
        <v>14</v>
      </c>
      <c r="C19" s="22">
        <f>'05_Ramp'!N25</f>
        <v>-80104.35565119999</v>
      </c>
      <c r="D19" s="22">
        <f>'05_Ramp'!N70</f>
        <v>-62121.60883600002</v>
      </c>
      <c r="E19" s="22">
        <f>'05_Ramp'!N115</f>
        <v>-42164.57413760002</v>
      </c>
    </row>
    <row r="20">
      <c r="B20" s="22" t="n">
        <v>15</v>
      </c>
      <c r="C20" s="22">
        <f>'05_Ramp'!N26</f>
        <v>-80857.2870688</v>
      </c>
      <c r="D20" s="22">
        <f>'05_Ramp'!N71</f>
        <v>-60644.389535200025</v>
      </c>
      <c r="E20" s="22">
        <f>'05_Ramp'!N116</f>
        <v>-36475.21089520003</v>
      </c>
    </row>
    <row r="21">
      <c r="B21" s="22" t="n">
        <v>16</v>
      </c>
      <c r="C21" s="22">
        <f>'05_Ramp'!N27</f>
        <v>-80866.8349136</v>
      </c>
      <c r="D21" s="22">
        <f>'05_Ramp'!N72</f>
        <v>-58795.47844800002</v>
      </c>
      <c r="E21" s="22">
        <f>'05_Ramp'!N117</f>
        <v>-29299.08050720003</v>
      </c>
    </row>
    <row r="22">
      <c r="B22" s="22" t="n">
        <v>17</v>
      </c>
      <c r="C22" s="22">
        <f>'05_Ramp'!N28</f>
        <v>-80504.69097200001</v>
      </c>
      <c r="D22" s="22">
        <f>'05_Ramp'!N73</f>
        <v>-56574.87557440002</v>
      </c>
      <c r="E22" s="22">
        <f>'05_Ramp'!N118</f>
        <v>-20636.182973600033</v>
      </c>
    </row>
    <row r="23">
      <c r="B23" s="22" t="n">
        <v>18</v>
      </c>
      <c r="C23" s="22">
        <f>'05_Ramp'!N29</f>
        <v>-79770.855244</v>
      </c>
      <c r="D23" s="22">
        <f>'05_Ramp'!N74</f>
        <v>-57582.58091440002</v>
      </c>
      <c r="E23" s="22">
        <f>'05_Ramp'!N119</f>
        <v>-10486.518294400037</v>
      </c>
    </row>
    <row r="24">
      <c r="B24" s="22" t="n">
        <v>19</v>
      </c>
      <c r="C24" s="22">
        <f>'05_Ramp'!N30</f>
        <v>-78665.3277296</v>
      </c>
      <c r="D24" s="22">
        <f>'05_Ramp'!N75</f>
        <v>-58218.594468000025</v>
      </c>
      <c r="E24" s="22">
        <f>'05_Ramp'!N120</f>
        <v>-2450.086469600039</v>
      </c>
    </row>
    <row r="25">
      <c r="B25" s="22" t="n">
        <v>20</v>
      </c>
      <c r="C25" s="22">
        <f>'05_Ramp'!N31</f>
        <v>-77188.1084288</v>
      </c>
      <c r="D25" s="22">
        <f>'05_Ramp'!N76</f>
        <v>-58482.91623520003</v>
      </c>
      <c r="E25" s="22">
        <f>'05_Ramp'!N121</f>
        <v>7073.112500799958</v>
      </c>
    </row>
    <row r="26">
      <c r="B26" s="22" t="n">
        <v>21</v>
      </c>
      <c r="C26" s="22">
        <f>'05_Ramp'!N32</f>
        <v>-75339.1973416</v>
      </c>
      <c r="D26" s="22">
        <f>'05_Ramp'!N77</f>
        <v>-58375.54621600003</v>
      </c>
      <c r="E26" s="22">
        <f>'05_Ramp'!N122</f>
        <v>18083.078616799954</v>
      </c>
    </row>
    <row r="27">
      <c r="B27" s="22" t="n">
        <v>22</v>
      </c>
      <c r="C27" s="22">
        <f>'05_Ramp'!N33</f>
        <v>-73118.594468</v>
      </c>
      <c r="D27" s="22">
        <f>'05_Ramp'!N78</f>
        <v>-57896.48441040004</v>
      </c>
      <c r="E27" s="22">
        <f>'05_Ramp'!N123</f>
        <v>30579.81187839995</v>
      </c>
    </row>
    <row r="28">
      <c r="B28" s="22" t="n">
        <v>23</v>
      </c>
      <c r="C28" s="22">
        <f>'05_Ramp'!N34</f>
        <v>-74126.299808</v>
      </c>
      <c r="D28" s="22">
        <f>'05_Ramp'!N79</f>
        <v>-57045.73081840004</v>
      </c>
      <c r="E28" s="22">
        <f>'05_Ramp'!N124</f>
        <v>44563.31228559995</v>
      </c>
    </row>
    <row r="29">
      <c r="B29" s="22" t="n">
        <v>24</v>
      </c>
      <c r="C29" s="22">
        <f>'05_Ramp'!N35</f>
        <v>-74762.3133616</v>
      </c>
      <c r="D29" s="22">
        <f>'05_Ramp'!N80</f>
        <v>-55823.28544000004</v>
      </c>
      <c r="E29" s="22">
        <f>'05_Ramp'!N125</f>
        <v>60033.57983839995</v>
      </c>
    </row>
    <row r="31">
      <c r="B31" s="3" t="inlineStr">
        <is>
          <t>Funding requirement</t>
        </is>
      </c>
      <c r="E31" s="3" t="inlineStr">
        <is>
          <t>If you want to avoid a raise</t>
        </is>
      </c>
    </row>
    <row r="32" ht="28" customHeight="1">
      <c r="B32" s="5" t="inlineStr">
        <is>
          <t>Pre-launch capital (weeks 1-6)</t>
        </is>
      </c>
      <c r="C32" s="7">
        <f>'01_Assumptions'!C40</f>
        <v>17000</v>
      </c>
      <c r="E32" s="4" t="inlineStr">
        <is>
          <t>•  Stay solo and unpaid for the first six months: the base case reaches breakeven without external capital, at the cost of speed.</t>
        </is>
      </c>
    </row>
    <row r="33" ht="28" customHeight="1">
      <c r="B33" s="5" t="inlineStr">
        <is>
          <t>Base-case peak funding requirement</t>
        </is>
      </c>
      <c r="C33" s="7">
        <f>ABS('06_Scenarios'!D16)</f>
        <v>63960.97207840002</v>
      </c>
      <c r="E33" s="4" t="inlineStr">
        <is>
          <t>•  Take three design partners with a $500 setup fee and a prepaid three-month subscription — roughly $4.5k of cash in week 6, which covers pre-launch burn.</t>
        </is>
      </c>
    </row>
    <row r="34" ht="28" customHeight="1">
      <c r="B34" s="5" t="inlineStr">
        <is>
          <t>Conservative peak funding requirement</t>
        </is>
      </c>
      <c r="C34" s="7">
        <f>ABS('06_Scenarios'!C16)</f>
        <v>80866.8349136</v>
      </c>
      <c r="E34" s="4" t="inlineStr">
        <is>
          <t>•  Only raise once you have 10+ paying properties and a churn number you actually believe. Raising earlier prices a business you cannot yet describe.</t>
        </is>
      </c>
    </row>
    <row r="35">
      <c r="B35" s="5" t="inlineStr">
        <is>
          <t>Recommended cash buffer (conservative peak + 30%)</t>
        </is>
      </c>
      <c r="C35" s="7">
        <f>C34*1.3</f>
        <v>105126.88538768001</v>
      </c>
    </row>
    <row r="36">
      <c r="B36" s="5" t="inlineStr">
        <is>
          <t>Months of opex that buffer buys</t>
        </is>
      </c>
      <c r="C36" s="8">
        <f>C35/'01_Assumptions'!C36</f>
        <v>14.600956303844447</v>
      </c>
    </row>
    <row r="38">
      <c r="B38" s="3" t="inlineStr">
        <is>
          <t>STAFFING REALITY CHECK</t>
        </is>
      </c>
    </row>
    <row r="39">
      <c r="B39" s="5" t="inlineStr">
        <is>
          <t>Opex, solo build (model default)</t>
        </is>
      </c>
      <c r="C39" s="7">
        <f>'01_Assumptions'!C36</f>
        <v>7200</v>
      </c>
    </row>
    <row r="40">
      <c r="B40" s="5" t="inlineStr">
        <is>
          <t>Opex, 3-person build (editable estimate)</t>
        </is>
      </c>
      <c r="C40" s="14" t="n">
        <v>16700</v>
      </c>
    </row>
    <row r="41">
      <c r="B41" s="5" t="inlineStr">
        <is>
          <t>Blended gross profit / property / month</t>
        </is>
      </c>
      <c r="C41" s="35">
        <f>'01_Assumptions'!C43</f>
        <v>371.69178639999996</v>
      </c>
    </row>
    <row r="42">
      <c r="B42" s="5" t="inlineStr">
        <is>
          <t>Properties needed to cover solo opex</t>
        </is>
      </c>
      <c r="C42" s="8">
        <f>C39/C41</f>
        <v>19.370888094502163</v>
      </c>
    </row>
    <row r="43">
      <c r="B43" s="5" t="inlineStr">
        <is>
          <t>Properties needed to cover 3-person opex</t>
        </is>
      </c>
      <c r="C43" s="8">
        <f>C40/C41</f>
        <v>44.92969877474807</v>
      </c>
    </row>
    <row r="44">
      <c r="B44" s="5" t="inlineStr">
        <is>
          <t>Extra burn to first profitable month (3-person)</t>
        </is>
      </c>
      <c r="C44" s="7">
        <f>(C40-C39)*'06_Scenarios'!D17</f>
        <v>123500</v>
      </c>
    </row>
    <row r="45">
      <c r="B45" s="5" t="inlineStr">
        <is>
          <t>Indicative peak requirement, 3-person build</t>
        </is>
      </c>
      <c r="C45" s="7">
        <f>C33+C44</f>
        <v>187460.97207840002</v>
      </c>
    </row>
    <row r="46" ht="28" customHeight="1">
      <c r="B46" s="36" t="inlineStr">
        <is>
          <t>Hiring ahead of revenue raises the breakeven bar from ~19 to ~45 properties. That trade — speed for a 2.3x higher bar — is the single biggest decision in this plan.</t>
        </is>
      </c>
    </row>
  </sheetData>
  <mergeCells count="4">
    <mergeCell ref="B46:J46"/>
    <mergeCell ref="E33:J33"/>
    <mergeCell ref="E32:J32"/>
    <mergeCell ref="E34:J34"/>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B2:J43"/>
  <sheetViews>
    <sheetView showGridLines="0" workbookViewId="0">
      <selection activeCell="A1" sqref="A1"/>
    </sheetView>
  </sheetViews>
  <sheetFormatPr baseColWidth="8" defaultRowHeight="15"/>
  <cols>
    <col width="3" customWidth="1" min="1" max="1"/>
    <col width="26" customWidth="1" min="2" max="2"/>
    <col width="16" customWidth="1" min="3" max="3"/>
    <col width="16" customWidth="1" min="4" max="4"/>
    <col width="16" customWidth="1" min="5" max="5"/>
    <col width="18" customWidth="1" min="6" max="6"/>
    <col width="20" customWidth="1" min="7" max="7"/>
    <col width="24" customWidth="1" min="8" max="8"/>
    <col width="22" customWidth="1" min="9" max="9"/>
    <col width="52" customWidth="1" min="10" max="10"/>
  </cols>
  <sheetData>
    <row r="2">
      <c r="B2" s="1" t="inlineStr">
        <is>
          <t>Market sizing — Americas + Europe</t>
        </is>
      </c>
    </row>
    <row r="3">
      <c r="B3" s="2" t="inlineStr">
        <is>
          <t>Hotel counts are cited public figures (2025-2026); the three filter percentages are estimates you should replace with your own pipeline data.</t>
        </is>
      </c>
    </row>
    <row r="5" ht="48" customHeight="1">
      <c r="B5" s="15" t="inlineStr">
        <is>
          <t>Market</t>
        </is>
      </c>
      <c r="C5" s="15" t="inlineStr">
        <is>
          <t>Hotels (all)</t>
        </is>
      </c>
      <c r="D5" s="15" t="inlineStr">
        <is>
          <t>Independent %</t>
        </is>
      </c>
      <c r="E5" s="15" t="inlineStr">
        <is>
          <t>Target segment %</t>
        </is>
      </c>
      <c r="F5" s="15" t="inlineStr">
        <is>
          <t>Serviceable %</t>
        </is>
      </c>
      <c r="G5" s="15" t="inlineStr">
        <is>
          <t>Independent hotels</t>
        </is>
      </c>
      <c r="H5" s="15" t="inlineStr">
        <is>
          <t>Target-segment properties</t>
        </is>
      </c>
      <c r="I5" s="15" t="inlineStr">
        <is>
          <t>Serviceable properties</t>
        </is>
      </c>
    </row>
    <row r="6">
      <c r="B6" s="5" t="inlineStr">
        <is>
          <t>Europe (28 countries)</t>
        </is>
      </c>
      <c r="C6" s="14" t="n">
        <v>158819</v>
      </c>
      <c r="D6" s="13" t="n">
        <v>0.74</v>
      </c>
      <c r="E6" s="13" t="n">
        <v>0.3</v>
      </c>
      <c r="F6" s="13" t="n">
        <v>0.4</v>
      </c>
      <c r="G6" s="22">
        <f>C6*D6</f>
        <v>117526.06</v>
      </c>
      <c r="H6" s="22">
        <f>G6*E6</f>
        <v>35257.818</v>
      </c>
      <c r="I6" s="22">
        <f>H6*F6</f>
        <v>14103.1272</v>
      </c>
      <c r="J6" s="2" t="inlineStr">
        <is>
          <t>HOTREC 2026: 74% independent, median 39 rooms; 158,819 properties</t>
        </is>
      </c>
    </row>
    <row r="7">
      <c r="B7" s="5" t="inlineStr">
        <is>
          <t>United States</t>
        </is>
      </c>
      <c r="C7" s="14" t="n">
        <v>50000</v>
      </c>
      <c r="D7" s="13" t="n">
        <v>0.4</v>
      </c>
      <c r="E7" s="13" t="n">
        <v>0.25</v>
      </c>
      <c r="F7" s="13" t="n">
        <v>0.35</v>
      </c>
      <c r="G7" s="22">
        <f>C7*D7</f>
        <v>20000</v>
      </c>
      <c r="H7" s="22">
        <f>G7*E7</f>
        <v>5000</v>
      </c>
      <c r="I7" s="22">
        <f>H7*F7</f>
        <v>1750</v>
      </c>
      <c r="J7" s="2" t="inlineStr">
        <is>
          <t>~50k hotels/motels; ~40% independent (STR); luxury/upscale share lower</t>
        </is>
      </c>
    </row>
    <row r="8">
      <c r="B8" s="5" t="inlineStr">
        <is>
          <t>Mexico</t>
        </is>
      </c>
      <c r="C8" s="14" t="n">
        <v>27948</v>
      </c>
      <c r="D8" s="13" t="n">
        <v>0.85</v>
      </c>
      <c r="E8" s="13" t="n">
        <v>0.35</v>
      </c>
      <c r="F8" s="13" t="n">
        <v>0.45</v>
      </c>
      <c r="G8" s="22">
        <f>C8*D8</f>
        <v>23755.8</v>
      </c>
      <c r="H8" s="22">
        <f>G8*E8</f>
        <v>8314.529999999999</v>
      </c>
      <c r="I8" s="22">
        <f>H8*F8</f>
        <v>3741.5384999999997</v>
      </c>
      <c r="J8" s="2" t="inlineStr">
        <is>
          <t>27,948 establishments, +3.9% YoY (2025)</t>
        </is>
      </c>
    </row>
    <row r="9">
      <c r="B9" s="5" t="inlineStr">
        <is>
          <t>Brazil</t>
        </is>
      </c>
      <c r="C9" s="14" t="n">
        <v>35000</v>
      </c>
      <c r="D9" s="13" t="n">
        <v>0.85</v>
      </c>
      <c r="E9" s="13" t="n">
        <v>0.25</v>
      </c>
      <c r="F9" s="13" t="n">
        <v>0.4</v>
      </c>
      <c r="G9" s="22">
        <f>C9*D9</f>
        <v>29750</v>
      </c>
      <c r="H9" s="22">
        <f>G9*E9</f>
        <v>7437.5</v>
      </c>
      <c r="I9" s="22">
        <f>H9*F9</f>
        <v>2975</v>
      </c>
      <c r="J9" s="2" t="inlineStr">
        <is>
          <t>Registered hotel businesses; treat as low-confidence, wide interval</t>
        </is>
      </c>
    </row>
    <row r="10">
      <c r="B10" s="5" t="inlineStr">
        <is>
          <t>Canada</t>
        </is>
      </c>
      <c r="C10" s="14" t="n">
        <v>7560</v>
      </c>
      <c r="D10" s="13" t="n">
        <v>0.6</v>
      </c>
      <c r="E10" s="13" t="n">
        <v>0.3</v>
      </c>
      <c r="F10" s="13" t="n">
        <v>0.35</v>
      </c>
      <c r="G10" s="22">
        <f>C10*D10</f>
        <v>4536</v>
      </c>
      <c r="H10" s="22">
        <f>G10*E10</f>
        <v>1360.8</v>
      </c>
      <c r="I10" s="22">
        <f>H10*F10</f>
        <v>476.28</v>
      </c>
      <c r="J10" s="2" t="inlineStr">
        <is>
          <t>~7,560 hotels / 466,850 rooms (Horwath 2026)</t>
        </is>
      </c>
    </row>
    <row r="11">
      <c r="B11" s="3" t="inlineStr">
        <is>
          <t>TOTAL</t>
        </is>
      </c>
      <c r="C11" s="7">
        <f>SUM(C6:C10)</f>
        <v>279327</v>
      </c>
      <c r="G11" s="7">
        <f>SUM(G6:G10)</f>
        <v>195567.86</v>
      </c>
      <c r="H11" s="7">
        <f>SUM(H6:H10)</f>
        <v>57370.648</v>
      </c>
      <c r="I11" s="7">
        <f>SUM(I6:I10)</f>
        <v>23045.9457</v>
      </c>
    </row>
    <row r="13">
      <c r="B13" s="3" t="inlineStr">
        <is>
          <t>Revenue pool and penetration</t>
        </is>
      </c>
    </row>
    <row r="14" ht="24" customHeight="1">
      <c r="B14" s="15" t="inlineStr">
        <is>
          <t>Metric</t>
        </is>
      </c>
      <c r="C14" s="15" t="inlineStr">
        <is>
          <t>Value</t>
        </is>
      </c>
      <c r="D14" s="15" t="inlineStr">
        <is>
          <t>Note</t>
        </is>
      </c>
    </row>
    <row r="15">
      <c r="B15" s="5" t="inlineStr">
        <is>
          <t>Blended ARPU $/month</t>
        </is>
      </c>
      <c r="C15" s="37">
        <f>'01_Assumptions'!C41</f>
        <v>439.49999999999994</v>
      </c>
      <c r="D15" s="2" t="inlineStr">
        <is>
          <t>Mix-weighted from 02_Property_Sizes</t>
        </is>
      </c>
    </row>
    <row r="16">
      <c r="B16" s="5" t="inlineStr">
        <is>
          <t>Serviceable ARR pool</t>
        </is>
      </c>
      <c r="C16" s="38">
        <f>I11*C15*12</f>
        <v>121544317.62179998</v>
      </c>
      <c r="D16" s="2" t="inlineStr">
        <is>
          <t>What the whole serviceable footprint is worth at current pricing</t>
        </is>
      </c>
    </row>
    <row r="17">
      <c r="B17" s="5" t="inlineStr">
        <is>
          <t>Properties in base case, month 24</t>
        </is>
      </c>
      <c r="C17" s="38">
        <f>'06_Scenarios'!D7</f>
        <v>31</v>
      </c>
      <c r="D17" s="2" t="inlineStr">
        <is>
          <t>From 05_Ramp</t>
        </is>
      </c>
    </row>
    <row r="18">
      <c r="B18" s="5" t="inlineStr">
        <is>
          <t>Base case as % of serviceable</t>
        </is>
      </c>
      <c r="C18" s="6">
        <f>C17/I11</f>
        <v>0.001345138984684842</v>
      </c>
      <c r="D18" s="2" t="inlineStr">
        <is>
          <t>The market is not the constraint</t>
        </is>
      </c>
    </row>
    <row r="19">
      <c r="B19" s="5" t="inlineStr">
        <is>
          <t>Properties for 0.5% penetration</t>
        </is>
      </c>
      <c r="C19" s="38">
        <f>I11*0.005</f>
        <v>115.22972850000001</v>
      </c>
      <c r="D19" s="2" t="inlineStr"/>
    </row>
    <row r="20">
      <c r="B20" s="5" t="inlineStr">
        <is>
          <t>ARR at 0.5% penetration</t>
        </is>
      </c>
      <c r="C20" s="38">
        <f>C19*C15*12</f>
        <v>607721.588109</v>
      </c>
      <c r="D20" s="2" t="inlineStr"/>
    </row>
    <row r="21">
      <c r="B21" s="5" t="inlineStr">
        <is>
          <t>Properties for 1% penetration</t>
        </is>
      </c>
      <c r="C21" s="38">
        <f>I11*0.01</f>
        <v>230.45945700000001</v>
      </c>
      <c r="D21" s="2" t="inlineStr"/>
    </row>
    <row r="22">
      <c r="B22" s="5" t="inlineStr">
        <is>
          <t>ARR at 1% penetration</t>
        </is>
      </c>
      <c r="C22" s="38">
        <f>C21*C15*12</f>
        <v>1215443.176218</v>
      </c>
      <c r="D22" s="2" t="inlineStr"/>
    </row>
    <row r="23">
      <c r="B23" s="5" t="inlineStr">
        <is>
          <t>Properties for 2% penetration</t>
        </is>
      </c>
      <c r="C23" s="38">
        <f>I11*0.02</f>
        <v>460.91891400000003</v>
      </c>
      <c r="D23" s="2" t="inlineStr"/>
    </row>
    <row r="24">
      <c r="B24" s="5" t="inlineStr">
        <is>
          <t>ARR at 2% penetration</t>
        </is>
      </c>
      <c r="C24" s="38">
        <f>C23*C15*12</f>
        <v>2430886.352436</v>
      </c>
      <c r="D24" s="2" t="inlineStr"/>
    </row>
    <row r="26">
      <c r="B26" s="3" t="inlineStr">
        <is>
          <t>Channel fit by market — this drives the channel roadmap, not preference</t>
        </is>
      </c>
    </row>
    <row r="27" ht="32" customHeight="1">
      <c r="B27" s="15" t="inlineStr">
        <is>
          <t>Market</t>
        </is>
      </c>
      <c r="C27" s="15" t="inlineStr">
        <is>
          <t>WhatsApp penetration</t>
        </is>
      </c>
      <c r="D27" s="15" t="inlineStr">
        <is>
          <t>Primary guest channel</t>
        </is>
      </c>
      <c r="E27" s="15" t="inlineStr">
        <is>
          <t>Secondary</t>
        </is>
      </c>
      <c r="F27" s="15" t="inlineStr">
        <is>
          <t>Build implication</t>
        </is>
      </c>
    </row>
    <row r="28" ht="26" customHeight="1">
      <c r="B28" s="39" t="inlineStr">
        <is>
          <t>Mexico</t>
        </is>
      </c>
      <c r="C28" s="4" t="inlineStr">
        <is>
          <t>~90%</t>
        </is>
      </c>
      <c r="D28" s="4" t="inlineStr">
        <is>
          <t>WhatsApp</t>
        </is>
      </c>
      <c r="E28" s="4" t="inlineStr">
        <is>
          <t>Web + QR</t>
        </is>
      </c>
      <c r="F28" s="4" t="inlineStr">
        <is>
          <t>WhatsApp is v1.1, not optional</t>
        </is>
      </c>
    </row>
    <row r="29" ht="26" customHeight="1">
      <c r="B29" s="39" t="inlineStr">
        <is>
          <t>Brazil</t>
        </is>
      </c>
      <c r="C29" s="4" t="inlineStr">
        <is>
          <t>~98%</t>
        </is>
      </c>
      <c r="D29" s="4" t="inlineStr">
        <is>
          <t>WhatsApp</t>
        </is>
      </c>
      <c r="E29" s="4" t="inlineStr">
        <is>
          <t>Web + QR</t>
        </is>
      </c>
      <c r="F29" s="4" t="inlineStr">
        <is>
          <t>Highest WhatsApp dependence in the footprint</t>
        </is>
      </c>
    </row>
    <row r="30" ht="26" customHeight="1">
      <c r="B30" s="39" t="inlineStr">
        <is>
          <t>Spain</t>
        </is>
      </c>
      <c r="C30" s="4" t="inlineStr">
        <is>
          <t>~90%</t>
        </is>
      </c>
      <c r="D30" s="4" t="inlineStr">
        <is>
          <t>WhatsApp</t>
        </is>
      </c>
      <c r="E30" s="4" t="inlineStr">
        <is>
          <t>Web + QR</t>
        </is>
      </c>
      <c r="F30" s="4" t="inlineStr">
        <is>
          <t>Same language and channel as Mexico: one beachhead, two continents</t>
        </is>
      </c>
    </row>
    <row r="31" ht="26" customHeight="1">
      <c r="B31" s="39" t="inlineStr">
        <is>
          <t>Germany / Italy</t>
        </is>
      </c>
      <c r="C31" s="4" t="inlineStr">
        <is>
          <t>~85-90%</t>
        </is>
      </c>
      <c r="D31" s="4" t="inlineStr">
        <is>
          <t>WhatsApp</t>
        </is>
      </c>
      <c r="E31" s="4" t="inlineStr">
        <is>
          <t>Web + QR</t>
        </is>
      </c>
      <c r="F31" s="4" t="inlineStr">
        <is>
          <t>High per-message cost (DE 6.5x MX) + German/Italian language</t>
        </is>
      </c>
    </row>
    <row r="32" ht="26" customHeight="1">
      <c r="B32" s="39" t="inlineStr">
        <is>
          <t>United States</t>
        </is>
      </c>
      <c r="C32" s="4" t="inlineStr">
        <is>
          <t>~25-30%</t>
        </is>
      </c>
      <c r="D32" s="4" t="inlineStr">
        <is>
          <t>Web + QR</t>
        </is>
      </c>
      <c r="E32" s="4" t="inlineStr">
        <is>
          <t>SMS / RCS</t>
        </is>
      </c>
      <c r="F32" s="4" t="inlineStr">
        <is>
          <t>DO NOT sell the US on WhatsApp alone — SMS/RCS is a separate channel build</t>
        </is>
      </c>
    </row>
    <row r="33" ht="26" customHeight="1">
      <c r="B33" s="39" t="inlineStr">
        <is>
          <t>Canada</t>
        </is>
      </c>
      <c r="C33" s="4" t="inlineStr">
        <is>
          <t>~45%</t>
        </is>
      </c>
      <c r="D33" s="4" t="inlineStr">
        <is>
          <t>Web + QR</t>
        </is>
      </c>
      <c r="E33" s="4" t="inlineStr">
        <is>
          <t>SMS</t>
        </is>
      </c>
      <c r="F33" s="4" t="inlineStr">
        <is>
          <t>Similar to US but WhatsApp stronger</t>
        </is>
      </c>
    </row>
    <row r="35">
      <c r="B35" s="3" t="inlineStr">
        <is>
          <t>Compliance footprint (all in force as of Oct 2026)</t>
        </is>
      </c>
    </row>
    <row r="36" ht="24" customHeight="1">
      <c r="B36" s="15" t="inlineStr">
        <is>
          <t>Regime</t>
        </is>
      </c>
      <c r="C36" s="15" t="inlineStr">
        <is>
          <t>Applies to</t>
        </is>
      </c>
      <c r="D36" s="15" t="inlineStr">
        <is>
          <t>Requirement</t>
        </is>
      </c>
    </row>
    <row r="37" ht="40" customHeight="1">
      <c r="B37" s="4" t="inlineStr">
        <is>
          <t>EU AI Act Art. 50</t>
        </is>
      </c>
      <c r="C37" s="4" t="inlineStr">
        <is>
          <t>Any AI system whose output reaches EU users, even from outside the EU</t>
        </is>
      </c>
      <c r="D37" s="4" t="inlineStr">
        <is>
          <t>Disclose AI at the start of the interaction; machine-readable marking of generated output. In force 2 Aug 2026; fines to EUR 15m or 3% of worldwide turnover</t>
        </is>
      </c>
    </row>
    <row r="38" ht="40" customHeight="1">
      <c r="B38" s="4" t="inlineStr">
        <is>
          <t>GDPR</t>
        </is>
      </c>
      <c r="C38" s="4" t="inlineStr">
        <is>
          <t>EU/EEA guest data</t>
        </is>
      </c>
      <c r="D38" s="4" t="inlineStr">
        <is>
          <t>Lawful basis, DPIA, DPA, EU data residency option, retention limits, erasure</t>
        </is>
      </c>
    </row>
    <row r="39" ht="40" customHeight="1">
      <c r="B39" s="4" t="inlineStr">
        <is>
          <t>LGPD</t>
        </is>
      </c>
      <c r="C39" s="4" t="inlineStr">
        <is>
          <t>Brazil</t>
        </is>
      </c>
      <c r="D39" s="4" t="inlineStr">
        <is>
          <t>Similar to GDPR; legal basis and DPO expectations</t>
        </is>
      </c>
    </row>
    <row r="40" ht="40" customHeight="1">
      <c r="B40" s="4" t="inlineStr">
        <is>
          <t>LFPDPPP</t>
        </is>
      </c>
      <c r="C40" s="4" t="inlineStr">
        <is>
          <t>Mexico</t>
        </is>
      </c>
      <c r="D40" s="4" t="inlineStr">
        <is>
          <t>Privacy notice, consent, data-subject rights</t>
        </is>
      </c>
    </row>
    <row r="41" ht="40" customHeight="1">
      <c r="B41" s="4" t="inlineStr">
        <is>
          <t>VAT / OSS</t>
        </is>
      </c>
      <c r="C41" s="4" t="inlineStr">
        <is>
          <t>Selling B2B SaaS into the EU</t>
        </is>
      </c>
      <c r="D41" s="4" t="inlineStr">
        <is>
          <t>VAT registration or merchant-of-record; reverse-charge invoicing for B2B</t>
        </is>
      </c>
    </row>
    <row r="43" ht="44" customHeight="1">
      <c r="B43" s="40" t="inlineStr">
        <is>
          <t>Read this before expanding: the footprint is 57k target properties and the base case needs 31 of them (0.13%). Market breadth is not your constraint — compliance, language, support time zones and sales are. Build global-ready, sell one beachhead at a time.</t>
        </is>
      </c>
    </row>
  </sheetData>
  <mergeCells count="1">
    <mergeCell ref="B43:I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2026-10-21T09:08:11Z</dcterms:created>
  <dcterms:modified xmlns:dcterms="http://purl.org/dc/terms/" xmlns:xsi="http://www.w3.org/2001/XMLSchema-instance" xsi:type="dcterms:W3CDTF">2026-10-21T09:08:11Z</dcterms:modified>
</cp:coreProperties>
</file>